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81face72bd47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file" sheetId="1" r:id="R040678ade91e49cf"/>
    <x:sheet xmlns:r="http://schemas.openxmlformats.org/officeDocument/2006/relationships" name="Raw Data - Sample Broker" sheetId="2" r:id="Rddc15d2f39ea4cfd"/>
    <x:sheet xmlns:r="http://schemas.openxmlformats.org/officeDocument/2006/relationships" name="Working - Sample Broker" sheetId="3" r:id="R7f252e3e13d541e7"/>
    <x:sheet xmlns:r="http://schemas.openxmlformats.org/officeDocument/2006/relationships" name="Dividends" sheetId="4" r:id="R27ac3a591ba944c9"/>
    <x:sheet xmlns:r="http://schemas.openxmlformats.org/officeDocument/2006/relationships" name="Interest &amp; Other Income" sheetId="5" r:id="R8f18c1f173aa427d"/>
    <x:sheet xmlns:r="http://schemas.openxmlformats.org/officeDocument/2006/relationships" name="Transaction Charges" sheetId="6" r:id="R780a7dae42794b87"/>
    <x:sheet xmlns:r="http://schemas.openxmlformats.org/officeDocument/2006/relationships" name="Carry Forward Losses" sheetId="7" r:id="R65ffd636ecbe40d4"/>
    <x:sheet xmlns:r="http://schemas.openxmlformats.org/officeDocument/2006/relationships" name="Checklist State" sheetId="8" r:id="R37cdfb96aebe48e7"/>
    <x:sheet xmlns:r="http://schemas.openxmlformats.org/officeDocument/2006/relationships" name="CA Summary" sheetId="9" r:id="R21445a94c2924ca2"/>
    <x:sheet xmlns:r="http://schemas.openxmlformats.org/officeDocument/2006/relationships" name="Detailed Summary" sheetId="10" r:id="Rdf9821dc694c45f6"/>
    <x:sheet xmlns:r="http://schemas.openxmlformats.org/officeDocument/2006/relationships" name="ITR Form Guide" sheetId="11" r:id="R0de16c8f9801416b"/>
    <x:sheet xmlns:r="http://schemas.openxmlformats.org/officeDocument/2006/relationships" name="NRE-NRO Tracker" sheetId="12" r:id="R86e74e72c18d4c76"/>
    <x:sheet xmlns:r="http://schemas.openxmlformats.org/officeDocument/2006/relationships" name="TDS Reconciliation" sheetId="13" r:id="R5ad0ba05e3944171"/>
    <x:sheet xmlns:r="http://schemas.openxmlformats.org/officeDocument/2006/relationships" name="DTAA &amp; Residency" sheetId="14" r:id="R0df613649a3d4c6f"/>
    <x:sheet xmlns:r="http://schemas.openxmlformats.org/officeDocument/2006/relationships" name="Repatriation Log" sheetId="15" r:id="R10e1b37b21ff4a5f"/>
    <x:sheet xmlns:r="http://schemas.openxmlformats.org/officeDocument/2006/relationships" name="Coparceners &amp; Members" sheetId="16" r:id="R1c1b9d7b2b3e4a0c"/>
    <x:sheet xmlns:r="http://schemas.openxmlformats.org/officeDocument/2006/relationships" name="Transfers Without Consideration" sheetId="17" r:id="R861868774e604e2c"/>
    <x:sheet xmlns:r="http://schemas.openxmlformats.org/officeDocument/2006/relationships" name="Partition Log" sheetId="18" r:id="R158d7e6b3ca048ca"/>
    <x:sheet xmlns:r="http://schemas.openxmlformats.org/officeDocument/2006/relationships" name="Interest Deduction Tracker" sheetId="19" r:id="R5853e7d9ee7b4644"/>
    <x:sheet xmlns:r="http://schemas.openxmlformats.org/officeDocument/2006/relationships" name="Regime &amp; Advance Tax Flags" sheetId="20" r:id="Re02ca24e192a4388"/>
    <x:sheet xmlns:r="http://schemas.openxmlformats.org/officeDocument/2006/relationships" name="Minor's Income (Clubbing)" sheetId="21" r:id="Rc7f1aa7395204dd9"/>
    <x:sheet xmlns:r="http://schemas.openxmlformats.org/officeDocument/2006/relationships" name="Alimony/Maintenance Log" sheetId="22" r:id="Rb06cc82fb6b64d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#,##0.00"/>
    <x:numFmt numFmtId="202" formatCode="&quot;₹&quot;#,##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5324A"/>
      </x:patternFill>
    </x:fill>
    <x:fill>
      <x:patternFill patternType="solid">
        <x:fgColor rgb="FFE7F3EF"/>
      </x:patternFill>
    </x:fill>
    <x:fill>
      <x:patternFill patternType="solid">
        <x:fgColor rgb="FF1F7A66"/>
      </x:patternFill>
    </x:fill>
  </x:fills>
  <x:borders count="5">
    <x:border/>
    <x:border>
      <x:left style="thin">
        <x:color rgb="FF1F7A66"/>
      </x:left>
      <x:top style="thin">
        <x:color rgb="FF1F7A66"/>
      </x:top>
      <x:bottom style="thin">
        <x:color rgb="FF1F7A66"/>
      </x:bottom>
    </x:border>
    <x:border>
      <x:top style="thin">
        <x:color rgb="FF1F7A66"/>
      </x:top>
      <x:bottom style="thin">
        <x:color rgb="FF1F7A66"/>
      </x:bottom>
    </x:border>
    <x:border>
      <x:right style="thin">
        <x:color rgb="FF1F7A66"/>
      </x:right>
      <x:top style="thin">
        <x:color rgb="FF1F7A66"/>
      </x:top>
      <x:bottom style="thin">
        <x:color rgb="FF1F7A66"/>
      </x:bottom>
    </x:border>
    <x:border>
      <x:left style="thin">
        <x:color rgb="FFD6DEE6"/>
      </x:left>
      <x:right style="thin">
        <x:color rgb="FFD6DEE6"/>
      </x:right>
      <x:top style="thin">
        <x:color rgb="FFD6DEE6"/>
      </x:top>
      <x:bottom style="thin">
        <x:color rgb="FFD6DEE6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200" fontId="4" fillId="0" borderId="4" xfId="0" applyNumberFormat="1" applyFont="1" applyFill="1" applyBorder="1"/>
    <x:xf numFmtId="201" fontId="4" fillId="0" borderId="4" xfId="0" applyNumberFormat="1" applyFont="1" applyFill="1" applyBorder="1"/>
    <x:xf numFmtId="202" fontId="4" fillId="0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46475ac90948fb" /><Relationship Type="http://schemas.openxmlformats.org/officeDocument/2006/relationships/theme" Target="/xl/theme/theme1.xml" Id="R6bb6931458c64e6f" /><Relationship Type="http://schemas.openxmlformats.org/officeDocument/2006/relationships/sharedStrings" Target="/xl/sharedStrings.xml" Id="R21d46d5ada9c4dc3" /><Relationship Type="http://schemas.openxmlformats.org/officeDocument/2006/relationships/worksheet" Target="/xl/worksheets/sheet1.xml" Id="R040678ade91e49cf" /><Relationship Type="http://schemas.openxmlformats.org/officeDocument/2006/relationships/worksheet" Target="/xl/worksheets/sheet2.xml" Id="Rddc15d2f39ea4cfd" /><Relationship Type="http://schemas.openxmlformats.org/officeDocument/2006/relationships/worksheet" Target="/xl/worksheets/sheet3.xml" Id="R7f252e3e13d541e7" /><Relationship Type="http://schemas.openxmlformats.org/officeDocument/2006/relationships/worksheet" Target="/xl/worksheets/sheet4.xml" Id="R27ac3a591ba944c9" /><Relationship Type="http://schemas.openxmlformats.org/officeDocument/2006/relationships/worksheet" Target="/xl/worksheets/sheet5.xml" Id="R8f18c1f173aa427d" /><Relationship Type="http://schemas.openxmlformats.org/officeDocument/2006/relationships/worksheet" Target="/xl/worksheets/sheet6.xml" Id="R780a7dae42794b87" /><Relationship Type="http://schemas.openxmlformats.org/officeDocument/2006/relationships/worksheet" Target="/xl/worksheets/sheet7.xml" Id="R65ffd636ecbe40d4" /><Relationship Type="http://schemas.openxmlformats.org/officeDocument/2006/relationships/worksheet" Target="/xl/worksheets/sheet8.xml" Id="R37cdfb96aebe48e7" /><Relationship Type="http://schemas.openxmlformats.org/officeDocument/2006/relationships/worksheet" Target="/xl/worksheets/sheet9.xml" Id="R21445a94c2924ca2" /><Relationship Type="http://schemas.openxmlformats.org/officeDocument/2006/relationships/worksheet" Target="/xl/worksheets/sheet10.xml" Id="Rdf9821dc694c45f6" /><Relationship Type="http://schemas.openxmlformats.org/officeDocument/2006/relationships/worksheet" Target="/xl/worksheets/sheet11.xml" Id="R0de16c8f9801416b" /><Relationship Type="http://schemas.openxmlformats.org/officeDocument/2006/relationships/worksheet" Target="/xl/worksheets/sheet12.xml" Id="R86e74e72c18d4c76" /><Relationship Type="http://schemas.openxmlformats.org/officeDocument/2006/relationships/worksheet" Target="/xl/worksheets/sheet13.xml" Id="R5ad0ba05e3944171" /><Relationship Type="http://schemas.openxmlformats.org/officeDocument/2006/relationships/worksheet" Target="/xl/worksheets/sheet14.xml" Id="R0df613649a3d4c6f" /><Relationship Type="http://schemas.openxmlformats.org/officeDocument/2006/relationships/worksheet" Target="/xl/worksheets/sheet15.xml" Id="R10e1b37b21ff4a5f" /><Relationship Type="http://schemas.openxmlformats.org/officeDocument/2006/relationships/worksheet" Target="/xl/worksheets/sheet16.xml" Id="R1c1b9d7b2b3e4a0c" /><Relationship Type="http://schemas.openxmlformats.org/officeDocument/2006/relationships/worksheet" Target="/xl/worksheets/sheet17.xml" Id="R861868774e604e2c" /><Relationship Type="http://schemas.openxmlformats.org/officeDocument/2006/relationships/worksheet" Target="/xl/worksheets/sheet18.xml" Id="R158d7e6b3ca048ca" /><Relationship Type="http://schemas.openxmlformats.org/officeDocument/2006/relationships/worksheet" Target="/xl/worksheets/sheet19.xml" Id="R5853e7d9ee7b4644" /><Relationship Type="http://schemas.openxmlformats.org/officeDocument/2006/relationships/worksheet" Target="/xl/worksheets/sheet20.xml" Id="Re02ca24e192a4388" /><Relationship Type="http://schemas.openxmlformats.org/officeDocument/2006/relationships/worksheet" Target="/xl/worksheets/sheet21.xml" Id="Rc7f1aa7395204dd9" /><Relationship Type="http://schemas.openxmlformats.org/officeDocument/2006/relationships/worksheet" Target="/xl/worksheets/sheet22.xml" Id="Rb06cc82fb6b64d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54" hidden="0" customWidth="1"/>
    <x:col min="4" max="4" width="18" hidden="0" customWidth="1"/>
  </x:cols>
  <x:sheetData>
    <x:row r="1">
      <x:c r="A1" s="3" t="str">
        <x:v>Unravel Tax - Profile</x:v>
      </x:c>
      <x:c r="B1" s="3" t="str">
        <x:v>Unravel Tax - Profile</x:v>
      </x:c>
      <x:c r="C1" s="3" t="str">
        <x:v>Unravel Tax - Profile</x:v>
      </x:c>
      <x:c r="D1" s="3" t="str">
        <x:v>Unravel Tax - Profile</x:v>
      </x:c>
    </x:row>
    <x:row r="2">
      <x:c r="A2" s="6" t="str">
        <x:v>Synthetic template for FY2025-26 / AY2026-27. Replace sample values only in editable input cells.</x:v>
      </x:c>
      <x:c r="B2" s="6" t="str">
        <x:v>Synthetic template for FY2025-26 / AY2026-27. Replace sample values only in editable input cells.</x:v>
      </x:c>
      <x:c r="C2" s="6" t="str">
        <x:v>Synthetic template for FY2025-26 / AY2026-27. Replace sample values only in editable input cells.</x:v>
      </x:c>
      <x:c r="D2" s="6" t="str">
        <x:v>Synthetic template for FY2025-26 / AY2026-27. Replace sample values only in editable input cells.</x:v>
      </x:c>
    </x:row>
    <x:row r="4">
      <x:c r="A4" s="12" t="str">
        <x:v>Field</x:v>
      </x:c>
      <x:c r="B4" s="13" t="str">
        <x:v>Value</x:v>
      </x:c>
      <x:c r="C4" s="13" t="str">
        <x:v>Why it matters</x:v>
      </x:c>
      <x:c r="D4" s="14" t="str">
        <x:v>Status</x:v>
      </x:c>
    </x:row>
    <x:row r="5">
      <x:c r="A5" s="16" t="str">
        <x:v>Person name</x:v>
      </x:c>
      <x:c r="B5" s="16" t="str">
        <x:v>Sample Taxpayer</x:v>
      </x:c>
      <x:c r="C5" s="16" t="str">
        <x:v>Used in exported summaries.</x:v>
      </x:c>
      <x:c r="D5" s="16" t="str">
        <x:v>Editable</x:v>
      </x:c>
    </x:row>
    <x:row r="6">
      <x:c r="A6" s="16" t="str">
        <x:v>Financial year</x:v>
      </x:c>
      <x:c r="B6" s="16" t="str">
        <x:v>2025-26</x:v>
      </x:c>
      <x:c r="C6" s="16" t="str">
        <x:v>Rules and due dates depend on the year.</x:v>
      </x:c>
      <x:c r="D6" s="16" t="str">
        <x:v>Editable</x:v>
      </x:c>
    </x:row>
    <x:row r="7">
      <x:c r="A7" s="16" t="str">
        <x:v>Assessment year</x:v>
      </x:c>
      <x:c r="B7" s="16" t="str">
        <x:f>RIGHT(B6,2)&amp;"-"&amp;TEXT(VALUE(RIGHT(B6,2))+1,"00")</x:f>
        <x:v>26-27</x:v>
      </x:c>
      <x:c r="C7" s="16" t="str">
        <x:v>Return filing year.</x:v>
      </x:c>
      <x:c r="D7" s="16" t="str">
        <x:v>Formula/input</x:v>
      </x:c>
    </x:row>
    <x:row r="8">
      <x:c r="A8" s="16" t="str">
        <x:v>Residential status</x:v>
      </x:c>
      <x:c r="B8" s="16" t="str">
        <x:v>Resident</x:v>
      </x:c>
      <x:c r="C8" s="16" t="str">
        <x:v>Controls ITR form and optional NRI tabs.</x:v>
      </x:c>
      <x:c r="D8" s="16" t="str">
        <x:v>Editable</x:v>
      </x:c>
    </x:row>
    <x:row r="9">
      <x:c r="A9" s="16" t="str">
        <x:v>Age group</x:v>
      </x:c>
      <x:c r="B9" s="16" t="str">
        <x:v>Under 60</x:v>
      </x:c>
      <x:c r="C9" s="16" t="str">
        <x:v>Controls senior citizen flags.</x:v>
      </x:c>
      <x:c r="D9" s="16" t="str">
        <x:v>Editable</x:v>
      </x:c>
    </x:row>
    <x:row r="10">
      <x:c r="A10" s="16" t="str">
        <x:v>Has business/speculative income?</x:v>
      </x:c>
      <x:c r="B10" s="16" t="str">
        <x:v>Yes</x:v>
      </x:c>
      <x:c r="C10" s="16" t="str">
        <x:v>Intraday trading moves the return toward ITR-3.</x:v>
      </x:c>
      <x:c r="D10" s="16" t="str">
        <x:v>Editable</x:v>
      </x:c>
    </x:row>
    <x:row r="11">
      <x:c r="A11" s="16" t="str">
        <x:v>Has HUF income/assets?</x:v>
      </x:c>
      <x:c r="B11" s="16" t="str">
        <x:v>No</x:v>
      </x:c>
      <x:c r="C11" s="16" t="str">
        <x:v>Controls HUF tabs.</x:v>
      </x:c>
      <x:c r="D11" s="16" t="str">
        <x:v>Editable</x:v>
      </x:c>
    </x:row>
    <x:row r="12">
      <x:c r="A12" s="16" t="str">
        <x:v>Single parent/guardian clubbing?</x:v>
      </x:c>
      <x:c r="B12" s="16" t="str">
        <x:v>No</x:v>
      </x:c>
      <x:c r="C12" s="16" t="str">
        <x:v>Controls minor-income tab.</x:v>
      </x:c>
      <x:c r="D12" s="16" t="str">
        <x:v>Editable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0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</x:cols>
  <x:sheetData>
    <x:row r="1">
      <x:c r="A1" s="3" t="str">
        <x:v>Raw Data - Sample Broker</x:v>
      </x:c>
      <x:c r="B1" s="3" t="str">
        <x:v>Raw Data - Sample Broker</x:v>
      </x:c>
      <x:c r="C1" s="3" t="str">
        <x:v>Raw Data - Sample Broker</x:v>
      </x:c>
      <x:c r="D1" s="3" t="str">
        <x:v>Raw Data - Sample Broker</x:v>
      </x:c>
      <x:c r="E1" s="3" t="str">
        <x:v>Raw Data - Sample Broker</x:v>
      </x:c>
      <x:c r="F1" s="3" t="str">
        <x:v>Raw Data - Sample Broker</x:v>
      </x:c>
      <x:c r="G1" s="3" t="str">
        <x:v>Raw Data - Sample Broker</x:v>
      </x:c>
      <x:c r="H1" s="3" t="str">
        <x:v>Raw Data - Sample Broker</x:v>
      </x:c>
    </x:row>
    <x:row r="2">
      <x:c r="A2" s="6" t="str">
        <x:v>Synthetic fixture rows copied from fixtures/sample-broker-statement.csv. Replace with extracted broker/AMC transaction rows.</x:v>
      </x:c>
      <x:c r="B2" s="6" t="str">
        <x:v>Synthetic fixture rows copied from fixtures/sample-broker-statement.csv. Replace with extracted broker/AMC transaction rows.</x:v>
      </x:c>
      <x:c r="C2" s="6" t="str">
        <x:v>Synthetic fixture rows copied from fixtures/sample-broker-statement.csv. Replace with extracted broker/AMC transaction rows.</x:v>
      </x:c>
      <x:c r="D2" s="6" t="str">
        <x:v>Synthetic fixture rows copied from fixtures/sample-broker-statement.csv. Replace with extracted broker/AMC transaction rows.</x:v>
      </x:c>
      <x:c r="E2" s="6" t="str">
        <x:v>Synthetic fixture rows copied from fixtures/sample-broker-statement.csv. Replace with extracted broker/AMC transaction rows.</x:v>
      </x:c>
      <x:c r="F2" s="6" t="str">
        <x:v>Synthetic fixture rows copied from fixtures/sample-broker-statement.csv. Replace with extracted broker/AMC transaction rows.</x:v>
      </x:c>
      <x:c r="G2" s="6" t="str">
        <x:v>Synthetic fixture rows copied from fixtures/sample-broker-statement.csv. Replace with extracted broker/AMC transaction rows.</x:v>
      </x:c>
      <x:c r="H2" s="6" t="str">
        <x:v>Synthetic fixture rows copied from fixtures/sample-broker-statement.csv. Replace with extracted broker/AMC transaction rows.</x:v>
      </x:c>
    </x:row>
    <x:row r="4">
      <x:c r="A4" s="12" t="str">
        <x:v>Scrip Name</x:v>
      </x:c>
      <x:c r="B4" s="13" t="str">
        <x:v>Purchase Date</x:v>
      </x:c>
      <x:c r="C4" s="13" t="str">
        <x:v>Sell Date</x:v>
      </x:c>
      <x:c r="D4" s="13" t="str">
        <x:v>Units</x:v>
      </x:c>
      <x:c r="E4" s="13" t="str">
        <x:v>Buy Value</x:v>
      </x:c>
      <x:c r="F4" s="13" t="str">
        <x:v>Sell Value</x:v>
      </x:c>
      <x:c r="G4" s="13" t="str">
        <x:v>Buy Price</x:v>
      </x:c>
      <x:c r="H4" s="14" t="str">
        <x:v>Sell Price</x:v>
      </x:c>
    </x:row>
    <x:row r="5">
      <x:c r="A5" s="16" t="str">
        <x:v>Acme Industries</x:v>
      </x:c>
      <x:c r="B5" s="17" t="n">
        <x:v>45748</x:v>
      </x:c>
      <x:c r="C5" s="17" t="n">
        <x:v>45762</x:v>
      </x:c>
      <x:c r="D5" s="18" t="n">
        <x:v>100</x:v>
      </x:c>
      <x:c r="E5" s="18" t="n">
        <x:v>50000</x:v>
      </x:c>
      <x:c r="F5" s="18" t="n">
        <x:v>51000</x:v>
      </x:c>
      <x:c r="G5" s="18" t="n">
        <x:v>500</x:v>
      </x:c>
      <x:c r="H5" s="18" t="n">
        <x:v>510</x:v>
      </x:c>
    </x:row>
    <x:row r="6">
      <x:c r="A6" s="16" t="str">
        <x:v>Acme Industries</x:v>
      </x:c>
      <x:c r="B6" s="17" t="n">
        <x:v>45301</x:v>
      </x:c>
      <x:c r="C6" s="17" t="n">
        <x:v>45797</x:v>
      </x:c>
      <x:c r="D6" s="18" t="n">
        <x:v>50</x:v>
      </x:c>
      <x:c r="E6" s="18" t="n">
        <x:v>25000</x:v>
      </x:c>
      <x:c r="F6" s="18" t="n">
        <x:v>27500</x:v>
      </x:c>
      <x:c r="G6" s="18" t="n">
        <x:v>500</x:v>
      </x:c>
      <x:c r="H6" s="18" t="n">
        <x:v>550</x:v>
      </x:c>
    </x:row>
    <x:row r="7">
      <x:c r="A7" s="16" t="str">
        <x:v>Sample Metals Ltd</x:v>
      </x:c>
      <x:c r="B7" s="17" t="n">
        <x:v>45813</x:v>
      </x:c>
      <x:c r="C7" s="17" t="n">
        <x:v>45813</x:v>
      </x:c>
      <x:c r="D7" s="18" t="n">
        <x:v>200</x:v>
      </x:c>
      <x:c r="E7" s="18" t="n">
        <x:v>40000</x:v>
      </x:c>
      <x:c r="F7" s="18" t="n">
        <x:v>40800</x:v>
      </x:c>
      <x:c r="G7" s="18" t="n">
        <x:v>200</x:v>
      </x:c>
      <x:c r="H7" s="18" t="n">
        <x:v>204</x:v>
      </x:c>
    </x:row>
    <x:row r="8">
      <x:c r="A8" s="16" t="str">
        <x:v>Sample Metals Ltd</x:v>
      </x:c>
      <x:c r="B8" s="17" t="n">
        <x:v>44969</x:v>
      </x:c>
      <x:c r="C8" s="17" t="n">
        <x:v>45826</x:v>
      </x:c>
      <x:c r="D8" s="18" t="n">
        <x:v>75</x:v>
      </x:c>
      <x:c r="E8" s="18" t="n">
        <x:v>30000</x:v>
      </x:c>
      <x:c r="F8" s="18" t="n">
        <x:v>33000</x:v>
      </x:c>
      <x:c r="G8" s="18" t="n">
        <x:v>400</x:v>
      </x:c>
      <x:c r="H8" s="18" t="n">
        <x:v>440</x:v>
      </x:c>
    </x:row>
    <x:row r="9">
      <x:c r="A9" s="16" t="str">
        <x:v>Test Pharma Co</x:v>
      </x:c>
      <x:c r="B9" s="17" t="n">
        <x:v>45870</x:v>
      </x:c>
      <x:c r="C9" s="17" t="n">
        <x:v>45899</x:v>
      </x:c>
      <x:c r="D9" s="18" t="n">
        <x:v>150</x:v>
      </x:c>
      <x:c r="E9" s="18" t="n">
        <x:v>45000</x:v>
      </x:c>
      <x:c r="F9" s="18" t="n">
        <x:v>43500</x:v>
      </x:c>
      <x:c r="G9" s="18" t="n">
        <x:v>300</x:v>
      </x:c>
      <x:c r="H9" s="18" t="n">
        <x:v>290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0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  <x:col min="9" max="9" width="14" hidden="0" customWidth="1"/>
    <x:col min="10" max="10" width="12" hidden="0" customWidth="1"/>
    <x:col min="11" max="11" width="14" hidden="0" customWidth="1"/>
    <x:col min="12" max="12" width="30" hidden="0" customWidth="1"/>
  </x:cols>
  <x:sheetData>
    <x:row r="1">
      <x:c r="A1" s="3" t="str">
        <x:v>Working - Sample Broker</x:v>
      </x:c>
      <x:c r="B1" s="3" t="str">
        <x:v>Working - Sample Broker</x:v>
      </x:c>
      <x:c r="C1" s="3" t="str">
        <x:v>Working - Sample Broker</x:v>
      </x:c>
      <x:c r="D1" s="3" t="str">
        <x:v>Working - Sample Broker</x:v>
      </x:c>
      <x:c r="E1" s="3" t="str">
        <x:v>Working - Sample Broker</x:v>
      </x:c>
      <x:c r="F1" s="3" t="str">
        <x:v>Working - Sample Broker</x:v>
      </x:c>
      <x:c r="G1" s="3" t="str">
        <x:v>Working - Sample Broker</x:v>
      </x:c>
      <x:c r="H1" s="3" t="str">
        <x:v>Working - Sample Broker</x:v>
      </x:c>
      <x:c r="I1" s="3" t="str">
        <x:v>Working - Sample Broker</x:v>
      </x:c>
      <x:c r="J1" s="3" t="str">
        <x:v>Working - Sample Broker</x:v>
      </x:c>
      <x:c r="K1" s="3" t="str">
        <x:v>Working - Sample Broker</x:v>
      </x:c>
      <x:c r="L1" s="3" t="str">
        <x:v>Working - Sample Broker</x:v>
      </x:c>
    </x:row>
    <x:row r="2">
      <x:c r="A2" s="6" t="str">
        <x:v>Formula-driven classification and gain calculation. Do not overwrite formulas in columns I-L.</x:v>
      </x:c>
      <x:c r="B2" s="6" t="str">
        <x:v>Formula-driven classification and gain calculation. Do not overwrite formulas in columns I-L.</x:v>
      </x:c>
      <x:c r="C2" s="6" t="str">
        <x:v>Formula-driven classification and gain calculation. Do not overwrite formulas in columns I-L.</x:v>
      </x:c>
      <x:c r="D2" s="6" t="str">
        <x:v>Formula-driven classification and gain calculation. Do not overwrite formulas in columns I-L.</x:v>
      </x:c>
      <x:c r="E2" s="6" t="str">
        <x:v>Formula-driven classification and gain calculation. Do not overwrite formulas in columns I-L.</x:v>
      </x:c>
      <x:c r="F2" s="6" t="str">
        <x:v>Formula-driven classification and gain calculation. Do not overwrite formulas in columns I-L.</x:v>
      </x:c>
      <x:c r="G2" s="6" t="str">
        <x:v>Formula-driven classification and gain calculation. Do not overwrite formulas in columns I-L.</x:v>
      </x:c>
      <x:c r="H2" s="6" t="str">
        <x:v>Formula-driven classification and gain calculation. Do not overwrite formulas in columns I-L.</x:v>
      </x:c>
      <x:c r="I2" s="6" t="str">
        <x:v>Formula-driven classification and gain calculation. Do not overwrite formulas in columns I-L.</x:v>
      </x:c>
      <x:c r="J2" s="6" t="str">
        <x:v>Formula-driven classification and gain calculation. Do not overwrite formulas in columns I-L.</x:v>
      </x:c>
      <x:c r="K2" s="6" t="str">
        <x:v>Formula-driven classification and gain calculation. Do not overwrite formulas in columns I-L.</x:v>
      </x:c>
      <x:c r="L2" s="6" t="str">
        <x:v>Formula-driven classification and gain calculation. Do not overwrite formulas in columns I-L.</x:v>
      </x:c>
    </x:row>
    <x:row r="4">
      <x:c r="A4" s="12" t="str">
        <x:v>Scrip Name</x:v>
      </x:c>
      <x:c r="B4" s="13" t="str">
        <x:v>Purchase Date</x:v>
      </x:c>
      <x:c r="C4" s="13" t="str">
        <x:v>Sell Date</x:v>
      </x:c>
      <x:c r="D4" s="13" t="str">
        <x:v>Units</x:v>
      </x:c>
      <x:c r="E4" s="13" t="str">
        <x:v>Buy Value</x:v>
      </x:c>
      <x:c r="F4" s="13" t="str">
        <x:v>Sell Value</x:v>
      </x:c>
      <x:c r="G4" s="13" t="str">
        <x:v>Buy Price</x:v>
      </x:c>
      <x:c r="H4" s="13" t="str">
        <x:v>Sell Price</x:v>
      </x:c>
      <x:c r="I4" s="13" t="str">
        <x:v>Hold Period (Days)</x:v>
      </x:c>
      <x:c r="J4" s="13" t="str">
        <x:v>Tax Class</x:v>
      </x:c>
      <x:c r="K4" s="13" t="str">
        <x:v>Gain/(Loss)</x:v>
      </x:c>
      <x:c r="L4" s="14" t="str">
        <x:v>Rule Note</x:v>
      </x:c>
    </x:row>
    <x:row r="5">
      <x:c r="A5" s="16" t="str">
        <x:f>'Raw Data - Sample Broker'!A5</x:f>
        <x:v>Acme Industries</x:v>
      </x:c>
      <x:c r="B5" s="17" t="n">
        <x:f>'Raw Data - Sample Broker'!B5</x:f>
        <x:v>45748</x:v>
      </x:c>
      <x:c r="C5" s="17" t="n">
        <x:f>'Raw Data - Sample Broker'!C5</x:f>
        <x:v>45762</x:v>
      </x:c>
      <x:c r="D5" s="16" t="n">
        <x:f>'Raw Data - Sample Broker'!D5</x:f>
        <x:v>100</x:v>
      </x:c>
      <x:c r="E5" s="19" t="n">
        <x:f>'Raw Data - Sample Broker'!E5</x:f>
        <x:v>50000</x:v>
      </x:c>
      <x:c r="F5" s="19" t="n">
        <x:f>'Raw Data - Sample Broker'!F5</x:f>
        <x:v>51000</x:v>
      </x:c>
      <x:c r="G5" s="19" t="n">
        <x:f>'Raw Data - Sample Broker'!G5</x:f>
        <x:v>500</x:v>
      </x:c>
      <x:c r="H5" s="19" t="n">
        <x:f>'Raw Data - Sample Broker'!H5</x:f>
        <x:v>510</x:v>
      </x:c>
      <x:c r="I5" s="16" t="n">
        <x:f>C5-B5</x:f>
        <x:v>14</x:v>
      </x:c>
      <x:c r="J5" s="16" t="str">
        <x:f>IF(C5=B5,"Intraday",IF(I5&gt;365,"LT","ST"))</x:f>
        <x:v>ST</x:v>
      </x:c>
      <x:c r="K5" s="19" t="n">
        <x:f>F5-E5</x:f>
        <x:v>1000</x:v>
      </x:c>
      <x:c r="L5" s="16" t="str">
        <x:f>IF(J5="Intraday","Speculative/business income",IF(J5="LT","Long-term capital gains","Short-term capital gains"))</x:f>
        <x:v>Short-term capital gains</x:v>
      </x:c>
    </x:row>
    <x:row r="6">
      <x:c r="A6" s="16" t="str">
        <x:f>'Raw Data - Sample Broker'!A6</x:f>
        <x:v>Acme Industries</x:v>
      </x:c>
      <x:c r="B6" s="17" t="n">
        <x:f>'Raw Data - Sample Broker'!B6</x:f>
        <x:v>45301</x:v>
      </x:c>
      <x:c r="C6" s="17" t="n">
        <x:f>'Raw Data - Sample Broker'!C6</x:f>
        <x:v>45797</x:v>
      </x:c>
      <x:c r="D6" s="16" t="n">
        <x:f>'Raw Data - Sample Broker'!D6</x:f>
        <x:v>50</x:v>
      </x:c>
      <x:c r="E6" s="19" t="n">
        <x:f>'Raw Data - Sample Broker'!E6</x:f>
        <x:v>25000</x:v>
      </x:c>
      <x:c r="F6" s="19" t="n">
        <x:f>'Raw Data - Sample Broker'!F6</x:f>
        <x:v>27500</x:v>
      </x:c>
      <x:c r="G6" s="19" t="n">
        <x:f>'Raw Data - Sample Broker'!G6</x:f>
        <x:v>500</x:v>
      </x:c>
      <x:c r="H6" s="19" t="n">
        <x:f>'Raw Data - Sample Broker'!H6</x:f>
        <x:v>550</x:v>
      </x:c>
      <x:c r="I6" s="16" t="n">
        <x:f>C6-B6</x:f>
        <x:v>496</x:v>
      </x:c>
      <x:c r="J6" s="16" t="str">
        <x:f>IF(C6=B6,"Intraday",IF(I6&gt;365,"LT","ST"))</x:f>
        <x:v>LT</x:v>
      </x:c>
      <x:c r="K6" s="19" t="n">
        <x:f>F6-E6</x:f>
        <x:v>2500</x:v>
      </x:c>
      <x:c r="L6" s="16" t="str">
        <x:f>IF(J6="Intraday","Speculative/business income",IF(J6="LT","Long-term capital gains","Short-term capital gains"))</x:f>
        <x:v>Long-term capital gains</x:v>
      </x:c>
    </x:row>
    <x:row r="7">
      <x:c r="A7" s="16" t="str">
        <x:f>'Raw Data - Sample Broker'!A7</x:f>
        <x:v>Sample Metals Ltd</x:v>
      </x:c>
      <x:c r="B7" s="17" t="n">
        <x:f>'Raw Data - Sample Broker'!B7</x:f>
        <x:v>45813</x:v>
      </x:c>
      <x:c r="C7" s="17" t="n">
        <x:f>'Raw Data - Sample Broker'!C7</x:f>
        <x:v>45813</x:v>
      </x:c>
      <x:c r="D7" s="16" t="n">
        <x:f>'Raw Data - Sample Broker'!D7</x:f>
        <x:v>200</x:v>
      </x:c>
      <x:c r="E7" s="19" t="n">
        <x:f>'Raw Data - Sample Broker'!E7</x:f>
        <x:v>40000</x:v>
      </x:c>
      <x:c r="F7" s="19" t="n">
        <x:f>'Raw Data - Sample Broker'!F7</x:f>
        <x:v>40800</x:v>
      </x:c>
      <x:c r="G7" s="19" t="n">
        <x:f>'Raw Data - Sample Broker'!G7</x:f>
        <x:v>200</x:v>
      </x:c>
      <x:c r="H7" s="19" t="n">
        <x:f>'Raw Data - Sample Broker'!H7</x:f>
        <x:v>204</x:v>
      </x:c>
      <x:c r="I7" s="16" t="n">
        <x:f>C7-B7</x:f>
        <x:v>0</x:v>
      </x:c>
      <x:c r="J7" s="16" t="str">
        <x:f>IF(C7=B7,"Intraday",IF(I7&gt;365,"LT","ST"))</x:f>
        <x:v>Intraday</x:v>
      </x:c>
      <x:c r="K7" s="19" t="n">
        <x:f>F7-E7</x:f>
        <x:v>800</x:v>
      </x:c>
      <x:c r="L7" s="16" t="str">
        <x:f>IF(J7="Intraday","Speculative/business income",IF(J7="LT","Long-term capital gains","Short-term capital gains"))</x:f>
        <x:v>Speculative/business income</x:v>
      </x:c>
    </x:row>
    <x:row r="8">
      <x:c r="A8" s="16" t="str">
        <x:f>'Raw Data - Sample Broker'!A8</x:f>
        <x:v>Sample Metals Ltd</x:v>
      </x:c>
      <x:c r="B8" s="17" t="n">
        <x:f>'Raw Data - Sample Broker'!B8</x:f>
        <x:v>44969</x:v>
      </x:c>
      <x:c r="C8" s="17" t="n">
        <x:f>'Raw Data - Sample Broker'!C8</x:f>
        <x:v>45826</x:v>
      </x:c>
      <x:c r="D8" s="16" t="n">
        <x:f>'Raw Data - Sample Broker'!D8</x:f>
        <x:v>75</x:v>
      </x:c>
      <x:c r="E8" s="19" t="n">
        <x:f>'Raw Data - Sample Broker'!E8</x:f>
        <x:v>30000</x:v>
      </x:c>
      <x:c r="F8" s="19" t="n">
        <x:f>'Raw Data - Sample Broker'!F8</x:f>
        <x:v>33000</x:v>
      </x:c>
      <x:c r="G8" s="19" t="n">
        <x:f>'Raw Data - Sample Broker'!G8</x:f>
        <x:v>400</x:v>
      </x:c>
      <x:c r="H8" s="19" t="n">
        <x:f>'Raw Data - Sample Broker'!H8</x:f>
        <x:v>440</x:v>
      </x:c>
      <x:c r="I8" s="16" t="n">
        <x:f>C8-B8</x:f>
        <x:v>857</x:v>
      </x:c>
      <x:c r="J8" s="16" t="str">
        <x:f>IF(C8=B8,"Intraday",IF(I8&gt;365,"LT","ST"))</x:f>
        <x:v>LT</x:v>
      </x:c>
      <x:c r="K8" s="19" t="n">
        <x:f>F8-E8</x:f>
        <x:v>3000</x:v>
      </x:c>
      <x:c r="L8" s="16" t="str">
        <x:f>IF(J8="Intraday","Speculative/business income",IF(J8="LT","Long-term capital gains","Short-term capital gains"))</x:f>
        <x:v>Long-term capital gains</x:v>
      </x:c>
    </x:row>
    <x:row r="9">
      <x:c r="A9" s="16" t="str">
        <x:f>'Raw Data - Sample Broker'!A9</x:f>
        <x:v>Test Pharma Co</x:v>
      </x:c>
      <x:c r="B9" s="17" t="n">
        <x:f>'Raw Data - Sample Broker'!B9</x:f>
        <x:v>45870</x:v>
      </x:c>
      <x:c r="C9" s="17" t="n">
        <x:f>'Raw Data - Sample Broker'!C9</x:f>
        <x:v>45899</x:v>
      </x:c>
      <x:c r="D9" s="16" t="n">
        <x:f>'Raw Data - Sample Broker'!D9</x:f>
        <x:v>150</x:v>
      </x:c>
      <x:c r="E9" s="19" t="n">
        <x:f>'Raw Data - Sample Broker'!E9</x:f>
        <x:v>45000</x:v>
      </x:c>
      <x:c r="F9" s="19" t="n">
        <x:f>'Raw Data - Sample Broker'!F9</x:f>
        <x:v>43500</x:v>
      </x:c>
      <x:c r="G9" s="19" t="n">
        <x:f>'Raw Data - Sample Broker'!G9</x:f>
        <x:v>300</x:v>
      </x:c>
      <x:c r="H9" s="19" t="n">
        <x:f>'Raw Data - Sample Broker'!H9</x:f>
        <x:v>290</x:v>
      </x:c>
      <x:c r="I9" s="16" t="n">
        <x:f>C9-B9</x:f>
        <x:v>29</x:v>
      </x:c>
      <x:c r="J9" s="16" t="str">
        <x:f>IF(C9=B9,"Intraday",IF(I9&gt;365,"LT","ST"))</x:f>
        <x:v>ST</x:v>
      </x:c>
      <x:c r="K9" s="19" t="n">
        <x:f>F9-E9</x:f>
        <x:v>-1500</x:v>
      </x:c>
      <x:c r="L9" s="16" t="str">
        <x:f>IF(J9="Intraday","Speculative/business income",IF(J9="LT","Long-term capital gains","Short-term capital gains"))</x:f>
        <x:v>Short-term capital gains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0" hidden="0" customWidth="1"/>
    <x:col min="4" max="4" width="16" hidden="0" customWidth="1"/>
    <x:col min="5" max="5" width="12" hidden="0" customWidth="1"/>
    <x:col min="6" max="6" width="16" hidden="0" customWidth="1"/>
    <x:col min="7" max="7" width="30" hidden="0" customWidth="1"/>
  </x:cols>
  <x:sheetData>
    <x:row r="1">
      <x:c r="A1" s="3" t="str">
        <x:v>Dividends</x:v>
      </x:c>
      <x:c r="B1" s="3" t="str">
        <x:v>Dividends</x:v>
      </x:c>
      <x:c r="C1" s="3" t="str">
        <x:v>Dividends</x:v>
      </x:c>
      <x:c r="D1" s="3" t="str">
        <x:v>Dividends</x:v>
      </x:c>
      <x:c r="E1" s="3" t="str">
        <x:v>Dividends</x:v>
      </x:c>
      <x:c r="F1" s="3" t="str">
        <x:v>Dividends</x:v>
      </x:c>
      <x:c r="G1" s="3" t="str">
        <x:v>Dividends</x:v>
      </x:c>
    </x:row>
    <x:row r="2">
      <x:c r="A2" s="6" t="str">
        <x:v>Quarter-wise reporting feeds Schedule OS and advance-tax checks.</x:v>
      </x:c>
      <x:c r="B2" s="6" t="str">
        <x:v>Quarter-wise reporting feeds Schedule OS and advance-tax checks.</x:v>
      </x:c>
      <x:c r="C2" s="6" t="str">
        <x:v>Quarter-wise reporting feeds Schedule OS and advance-tax checks.</x:v>
      </x:c>
      <x:c r="D2" s="6" t="str">
        <x:v>Quarter-wise reporting feeds Schedule OS and advance-tax checks.</x:v>
      </x:c>
      <x:c r="E2" s="6" t="str">
        <x:v>Quarter-wise reporting feeds Schedule OS and advance-tax checks.</x:v>
      </x:c>
      <x:c r="F2" s="6" t="str">
        <x:v>Quarter-wise reporting feeds Schedule OS and advance-tax checks.</x:v>
      </x:c>
      <x:c r="G2" s="6" t="str">
        <x:v>Quarter-wise reporting feeds Schedule OS and advance-tax checks.</x:v>
      </x:c>
    </x:row>
    <x:row r="4">
      <x:c r="A4" s="12" t="str">
        <x:v>Company/Fund</x:v>
      </x:c>
      <x:c r="B4" s="13" t="str">
        <x:v>Receipt Date</x:v>
      </x:c>
      <x:c r="C4" s="13" t="str">
        <x:v>Quarter</x:v>
      </x:c>
      <x:c r="D4" s="13" t="str">
        <x:v>Gross Dividend</x:v>
      </x:c>
      <x:c r="E4" s="13" t="str">
        <x:v>TDS</x:v>
      </x:c>
      <x:c r="F4" s="13" t="str">
        <x:v>Net Received</x:v>
      </x:c>
      <x:c r="G4" s="14" t="str">
        <x:v>Notes</x:v>
      </x:c>
    </x:row>
    <x:row r="5">
      <x:c r="A5" s="16" t="str">
        <x:v>Sample Industries</x:v>
      </x:c>
      <x:c r="B5" s="17" t="n">
        <x:v>45853</x:v>
      </x:c>
      <x:c r="C5" s="16" t="n">
        <x:f>ROUNDUP(MONTH(B5)/3,0)</x:f>
        <x:v>3</x:v>
      </x:c>
      <x:c r="D5" s="19" t="n">
        <x:v>2400</x:v>
      </x:c>
      <x:c r="E5" s="19" t="n">
        <x:v>0</x:v>
      </x:c>
      <x:c r="F5" s="19" t="n">
        <x:f>D5-E5</x:f>
        <x:v>2400</x:v>
      </x:c>
      <x:c r="G5" s="16" t="str">
        <x:v>Synthetic example</x:v>
      </x:c>
    </x:row>
    <x:row r="6">
      <x:c r="A6" s="16" t="str">
        <x:v>Sample Metals</x:v>
      </x:c>
      <x:c r="B6" s="17" t="n">
        <x:v>45950</x:v>
      </x:c>
      <x:c r="C6" s="16" t="n">
        <x:f>ROUNDUP(MONTH(B6)/3,0)</x:f>
        <x:v>4</x:v>
      </x:c>
      <x:c r="D6" s="19" t="n">
        <x:v>1600</x:v>
      </x:c>
      <x:c r="E6" s="19" t="n">
        <x:v>0</x:v>
      </x:c>
      <x:c r="F6" s="19" t="n">
        <x:f>D6-E6</x:f>
        <x:v>1600</x:v>
      </x:c>
      <x:c r="G6" s="16" t="str">
        <x:v>Synthetic example</x:v>
      </x:c>
    </x:row>
    <x:row r="7">
      <x:c r="A7" s="16" t="str"/>
      <x:c r="B7" s="17"/>
      <x:c r="C7" s="16" t="str">
        <x:f>IF(B7="","",ROUNDUP(MONTH(B7)/3,0))</x:f>
      </x:c>
      <x:c r="D7" s="19"/>
      <x:c r="E7" s="19"/>
      <x:c r="F7" s="19" t="str">
        <x:f>IF(D7="","",D7-E7)</x:f>
      </x:c>
      <x:c r="G7" s="16" t="str"/>
    </x:row>
    <x:row r="8">
      <x:c r="A8" s="16" t="str">
        <x:v>Total</x:v>
      </x:c>
      <x:c r="B8" s="16"/>
      <x:c r="C8" s="16"/>
      <x:c r="D8" s="19" t="n">
        <x:f>SUM(D5:D7)</x:f>
        <x:v>4000</x:v>
      </x:c>
      <x:c r="E8" s="19" t="n">
        <x:f>SUM(E5:E7)</x:f>
        <x:v>0</x:v>
      </x:c>
      <x:c r="F8" s="19" t="n">
        <x:f>SUM(F5:F7)</x:f>
        <x:v>4000</x:v>
      </x:c>
      <x:c r="G8" s="16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6" hidden="0" customWidth="1"/>
    <x:col min="4" max="4" width="12" hidden="0" customWidth="1"/>
    <x:col min="5" max="5" width="18" hidden="0" customWidth="1"/>
    <x:col min="6" max="6" width="36" hidden="0" customWidth="1"/>
  </x:cols>
  <x:sheetData>
    <x:row r="1">
      <x:c r="A1" s="3" t="str">
        <x:v>Interest &amp; Other Income</x:v>
      </x:c>
      <x:c r="B1" s="3" t="str">
        <x:v>Interest &amp; Other Income</x:v>
      </x:c>
      <x:c r="C1" s="3" t="str">
        <x:v>Interest &amp; Other Income</x:v>
      </x:c>
      <x:c r="D1" s="3" t="str">
        <x:v>Interest &amp; Other Income</x:v>
      </x:c>
      <x:c r="E1" s="3" t="str">
        <x:v>Interest &amp; Other Income</x:v>
      </x:c>
      <x:c r="F1" s="3" t="str">
        <x:v>Interest &amp; Other Income</x:v>
      </x:c>
    </x:row>
    <x:row r="2">
      <x:c r="A2" s="6" t="str">
        <x:v>Bank interest and other income used in the summary and regime comparison.</x:v>
      </x:c>
      <x:c r="B2" s="6" t="str">
        <x:v>Bank interest and other income used in the summary and regime comparison.</x:v>
      </x:c>
      <x:c r="C2" s="6" t="str">
        <x:v>Bank interest and other income used in the summary and regime comparison.</x:v>
      </x:c>
      <x:c r="D2" s="6" t="str">
        <x:v>Bank interest and other income used in the summary and regime comparison.</x:v>
      </x:c>
      <x:c r="E2" s="6" t="str">
        <x:v>Bank interest and other income used in the summary and regime comparison.</x:v>
      </x:c>
      <x:c r="F2" s="6" t="str">
        <x:v>Bank interest and other income used in the summary and regime comparison.</x:v>
      </x:c>
    </x:row>
    <x:row r="4">
      <x:c r="A4" s="12" t="str">
        <x:v>Source</x:v>
      </x:c>
      <x:c r="B4" s="13" t="str">
        <x:v>Income Type</x:v>
      </x:c>
      <x:c r="C4" s="13" t="str">
        <x:v>Taxable Amount</x:v>
      </x:c>
      <x:c r="D4" s="13" t="str">
        <x:v>TDS</x:v>
      </x:c>
      <x:c r="E4" s="13" t="str">
        <x:v>Eligible Deduction</x:v>
      </x:c>
      <x:c r="F4" s="14" t="str">
        <x:v>Notes</x:v>
      </x:c>
    </x:row>
    <x:row r="5">
      <x:c r="A5" s="16" t="str">
        <x:v>Sample Bank</x:v>
      </x:c>
      <x:c r="B5" s="16" t="str">
        <x:v>Savings interest</x:v>
      </x:c>
      <x:c r="C5" s="19" t="n">
        <x:v>6000</x:v>
      </x:c>
      <x:c r="D5" s="19" t="n">
        <x:v>0</x:v>
      </x:c>
      <x:c r="E5" s="19" t="n">
        <x:f>IF(Profile!B9="60 or older",MIN(C5,50000),0)</x:f>
        <x:v>0</x:v>
      </x:c>
      <x:c r="F5" s="16" t="str">
        <x:v>May feed 80TTA/80TTB depending on profile</x:v>
      </x:c>
    </x:row>
    <x:row r="6">
      <x:c r="A6" s="16" t="str">
        <x:v>Sample Bank FD</x:v>
      </x:c>
      <x:c r="B6" s="16" t="str">
        <x:v>Fixed deposit interest</x:v>
      </x:c>
      <x:c r="C6" s="19" t="n">
        <x:v>18000</x:v>
      </x:c>
      <x:c r="D6" s="19" t="n">
        <x:v>1800</x:v>
      </x:c>
      <x:c r="E6" s="19" t="n">
        <x:f>IF(Profile!B9="60 or older",MIN(C6,50000),0)</x:f>
        <x:v>0</x:v>
      </x:c>
      <x:c r="F6" s="16" t="str">
        <x:v>Synthetic example</x:v>
      </x:c>
    </x:row>
    <x:row r="7">
      <x:c r="A7" s="16" t="str"/>
      <x:c r="B7" s="16" t="str"/>
      <x:c r="C7" s="19"/>
      <x:c r="D7" s="19"/>
      <x:c r="E7" s="19" t="str">
        <x:f>IF(C7="","",0)</x:f>
      </x:c>
      <x:c r="F7" s="16" t="str"/>
    </x:row>
    <x:row r="8">
      <x:c r="A8" s="16" t="str">
        <x:v>Total</x:v>
      </x:c>
      <x:c r="B8" s="16" t="str"/>
      <x:c r="C8" s="19" t="n">
        <x:f>SUM(C5:C7)</x:f>
        <x:v>24000</x:v>
      </x:c>
      <x:c r="D8" s="19" t="n">
        <x:f>SUM(D5:D7)</x:f>
        <x:v>1800</x:v>
      </x:c>
      <x:c r="E8" s="19" t="n">
        <x:f>SUM(E5:E7)</x:f>
        <x:v>0</x:v>
      </x:c>
      <x:c r="F8" s="16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2" hidden="0" customWidth="1"/>
    <x:col min="5" max="5" width="12" hidden="0" customWidth="1"/>
    <x:col min="6" max="6" width="18" hidden="0" customWidth="1"/>
    <x:col min="7" max="7" width="36" hidden="0" customWidth="1"/>
  </x:cols>
  <x:sheetData>
    <x:row r="1">
      <x:c r="A1" s="3" t="str">
        <x:v>Transaction Charges</x:v>
      </x:c>
      <x:c r="B1" s="3" t="str">
        <x:v>Transaction Charges</x:v>
      </x:c>
      <x:c r="C1" s="3" t="str">
        <x:v>Transaction Charges</x:v>
      </x:c>
      <x:c r="D1" s="3" t="str">
        <x:v>Transaction Charges</x:v>
      </x:c>
      <x:c r="E1" s="3" t="str">
        <x:v>Transaction Charges</x:v>
      </x:c>
      <x:c r="F1" s="3" t="str">
        <x:v>Transaction Charges</x:v>
      </x:c>
      <x:c r="G1" s="3" t="str">
        <x:v>Transaction Charges</x:v>
      </x:c>
    </x:row>
    <x:row r="2">
      <x:c r="A2" s="6" t="str">
        <x:v>Split STT from other charges because deductibility differs by income type.</x:v>
      </x:c>
      <x:c r="B2" s="6" t="str">
        <x:v>Split STT from other charges because deductibility differs by income type.</x:v>
      </x:c>
      <x:c r="C2" s="6" t="str">
        <x:v>Split STT from other charges because deductibility differs by income type.</x:v>
      </x:c>
      <x:c r="D2" s="6" t="str">
        <x:v>Split STT from other charges because deductibility differs by income type.</x:v>
      </x:c>
      <x:c r="E2" s="6" t="str">
        <x:v>Split STT from other charges because deductibility differs by income type.</x:v>
      </x:c>
      <x:c r="F2" s="6" t="str">
        <x:v>Split STT from other charges because deductibility differs by income type.</x:v>
      </x:c>
      <x:c r="G2" s="6" t="str">
        <x:v>Split STT from other charges because deductibility differs by income type.</x:v>
      </x:c>
    </x:row>
    <x:row r="4">
      <x:c r="A4" s="12" t="str">
        <x:v>Source</x:v>
      </x:c>
      <x:c r="B4" s="13" t="str">
        <x:v>Charge Type</x:v>
      </x:c>
      <x:c r="C4" s="13" t="str">
        <x:v>Linked Income Type</x:v>
      </x:c>
      <x:c r="D4" s="13" t="str">
        <x:v>Amount</x:v>
      </x:c>
      <x:c r="E4" s="13" t="str">
        <x:v>Deductible?</x:v>
      </x:c>
      <x:c r="F4" s="13" t="str">
        <x:v>Deductible Amount</x:v>
      </x:c>
      <x:c r="G4" s="14" t="str">
        <x:v>Notes</x:v>
      </x:c>
    </x:row>
    <x:row r="5">
      <x:c r="A5" s="16" t="str">
        <x:v>Sample Broker</x:v>
      </x:c>
      <x:c r="B5" s="16" t="str">
        <x:v>STT</x:v>
      </x:c>
      <x:c r="C5" s="16" t="str">
        <x:v>Capital gains</x:v>
      </x:c>
      <x:c r="D5" s="19" t="n">
        <x:v>250</x:v>
      </x:c>
      <x:c r="E5" s="19" t="str">
        <x:v>No</x:v>
      </x:c>
      <x:c r="F5" s="19" t="n">
        <x:f>IF(E5="Yes",D5,0)</x:f>
        <x:v>0</x:v>
      </x:c>
      <x:c r="G5" s="16" t="str">
        <x:v>STT is not deductible for capital gains</x:v>
      </x:c>
    </x:row>
    <x:row r="6">
      <x:c r="A6" s="16" t="str">
        <x:v>Sample Broker</x:v>
      </x:c>
      <x:c r="B6" s="16" t="str">
        <x:v>Exchange/SEBI/stamp</x:v>
      </x:c>
      <x:c r="C6" s="16" t="str">
        <x:v>Capital gains</x:v>
      </x:c>
      <x:c r="D6" s="19" t="n">
        <x:v>120</x:v>
      </x:c>
      <x:c r="E6" s="19" t="str">
        <x:v>Yes</x:v>
      </x:c>
      <x:c r="F6" s="19" t="n">
        <x:f>IF(E6="Yes",D6,0)</x:f>
        <x:v>120</x:v>
      </x:c>
      <x:c r="G6" s="16" t="str">
        <x:v>Check whether broker values already net this</x:v>
      </x:c>
    </x:row>
    <x:row r="7">
      <x:c r="A7" s="16" t="str">
        <x:v>Sample Broker</x:v>
      </x:c>
      <x:c r="B7" s="16" t="str">
        <x:v>STT</x:v>
      </x:c>
      <x:c r="C7" s="16" t="str">
        <x:v>Intraday/speculative</x:v>
      </x:c>
      <x:c r="D7" s="19" t="n">
        <x:v>40</x:v>
      </x:c>
      <x:c r="E7" s="19" t="str">
        <x:v>Yes</x:v>
      </x:c>
      <x:c r="F7" s="19" t="n">
        <x:f>IF(E7="Yes",D7,0)</x:f>
        <x:v>40</x:v>
      </x:c>
      <x:c r="G7" s="16" t="str">
        <x:v>Business-income treatment</x:v>
      </x:c>
    </x:row>
    <x:row r="8">
      <x:c r="A8" s="16" t="str">
        <x:v>Total</x:v>
      </x:c>
      <x:c r="B8" s="16" t="str"/>
      <x:c r="C8" s="16" t="str"/>
      <x:c r="D8" s="19" t="n">
        <x:f>SUM(D5:D7)</x:f>
        <x:v>410</x:v>
      </x:c>
      <x:c r="E8" s="19" t="str"/>
      <x:c r="F8" s="19" t="n">
        <x:f>SUM(F5:F7)</x:f>
        <x:v>160</x:v>
      </x:c>
      <x:c r="G8" s="16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12" hidden="0" customWidth="1"/>
    <x:col min="4" max="4" width="16" hidden="0" customWidth="1"/>
    <x:col min="5" max="5" width="14" hidden="0" customWidth="1"/>
    <x:col min="6" max="6" width="18" hidden="0" customWidth="1"/>
    <x:col min="7" max="7" width="16" hidden="0" customWidth="1"/>
  </x:cols>
  <x:sheetData>
    <x:row r="1">
      <x:c r="A1" s="3" t="str">
        <x:v>Carry Forward Losses</x:v>
      </x:c>
      <x:c r="B1" s="3" t="str">
        <x:v>Carry Forward Losses</x:v>
      </x:c>
      <x:c r="C1" s="3" t="str">
        <x:v>Carry Forward Losses</x:v>
      </x:c>
      <x:c r="D1" s="3" t="str">
        <x:v>Carry Forward Losses</x:v>
      </x:c>
      <x:c r="E1" s="3" t="str">
        <x:v>Carry Forward Losses</x:v>
      </x:c>
      <x:c r="F1" s="3" t="str">
        <x:v>Carry Forward Losses</x:v>
      </x:c>
      <x:c r="G1" s="3" t="str">
        <x:v>Carry Forward Losses</x:v>
      </x:c>
    </x:row>
    <x:row r="2">
      <x:c r="A2" s="6" t="str">
        <x:v>Register losses by assessment year. Late filing can forfeit carry-forward.</x:v>
      </x:c>
      <x:c r="B2" s="6" t="str">
        <x:v>Register losses by assessment year. Late filing can forfeit carry-forward.</x:v>
      </x:c>
      <x:c r="C2" s="6" t="str">
        <x:v>Register losses by assessment year. Late filing can forfeit carry-forward.</x:v>
      </x:c>
      <x:c r="D2" s="6" t="str">
        <x:v>Register losses by assessment year. Late filing can forfeit carry-forward.</x:v>
      </x:c>
      <x:c r="E2" s="6" t="str">
        <x:v>Register losses by assessment year. Late filing can forfeit carry-forward.</x:v>
      </x:c>
      <x:c r="F2" s="6" t="str">
        <x:v>Register losses by assessment year. Late filing can forfeit carry-forward.</x:v>
      </x:c>
      <x:c r="G2" s="6" t="str">
        <x:v>Register losses by assessment year. Late filing can forfeit carry-forward.</x:v>
      </x:c>
    </x:row>
    <x:row r="4">
      <x:c r="A4" s="12" t="str">
        <x:v>AY Loss Arose</x:v>
      </x:c>
      <x:c r="B4" s="13" t="str">
        <x:v>Type of Loss</x:v>
      </x:c>
      <x:c r="C4" s="13" t="str">
        <x:v>Section</x:v>
      </x:c>
      <x:c r="D4" s="13" t="str">
        <x:v>Original Amount</x:v>
      </x:c>
      <x:c r="E4" s="13" t="str">
        <x:v>Set Off Later</x:v>
      </x:c>
      <x:c r="F4" s="13" t="str">
        <x:v>Balance Available</x:v>
      </x:c>
      <x:c r="G4" s="14" t="str">
        <x:v>Expires After AY</x:v>
      </x:c>
    </x:row>
    <x:row r="5">
      <x:c r="A5" s="16" t="str">
        <x:v>2026-27</x:v>
      </x:c>
      <x:c r="B5" s="16" t="str">
        <x:v>Short Term Capital Loss</x:v>
      </x:c>
      <x:c r="C5" s="16" t="str">
        <x:v>111A</x:v>
      </x:c>
      <x:c r="D5" s="19" t="n">
        <x:f>MAX(0,-SUMIF('Working - Sample Broker'!$J$5:$J$9,"ST",'Working - Sample Broker'!$K$5:$K$9))</x:f>
        <x:v>500</x:v>
      </x:c>
      <x:c r="E5" s="19" t="n">
        <x:v>0</x:v>
      </x:c>
      <x:c r="F5" s="19" t="n">
        <x:f>D5-E5</x:f>
        <x:v>500</x:v>
      </x:c>
      <x:c r="G5" s="16" t="str">
        <x:v>2034-35</x:v>
      </x:c>
    </x:row>
    <x:row r="6">
      <x:c r="A6" s="16" t="str">
        <x:v>2026-27</x:v>
      </x:c>
      <x:c r="B6" s="16" t="str">
        <x:v>Long Term Capital Loss</x:v>
      </x:c>
      <x:c r="C6" s="16" t="str">
        <x:v>112A</x:v>
      </x:c>
      <x:c r="D6" s="19" t="n">
        <x:f>MAX(0,-SUMIF('Working - Sample Broker'!$J$5:$J$9,"LT",'Working - Sample Broker'!$K$5:$K$9))</x:f>
        <x:v>0</x:v>
      </x:c>
      <x:c r="E6" s="19" t="n">
        <x:v>0</x:v>
      </x:c>
      <x:c r="F6" s="19" t="n">
        <x:f>D6-E6</x:f>
        <x:v>0</x:v>
      </x:c>
      <x:c r="G6" s="16" t="str">
        <x:v>2034-35</x:v>
      </x:c>
    </x:row>
    <x:row r="7">
      <x:c r="A7" s="16" t="str"/>
      <x:c r="B7" s="16" t="str"/>
      <x:c r="C7" s="16" t="str"/>
      <x:c r="D7" s="19"/>
      <x:c r="E7" s="19"/>
      <x:c r="F7" s="19" t="str">
        <x:f>IF(D7="","",D7-E7)</x:f>
      </x:c>
      <x:c r="G7" s="16" t="str"/>
    </x:row>
    <x:row r="8">
      <x:c r="A8" s="16" t="str"/>
      <x:c r="B8" s="16" t="str"/>
      <x:c r="C8" s="16" t="str"/>
      <x:c r="D8" s="19"/>
      <x:c r="E8" s="19"/>
      <x:c r="F8" s="19" t="str">
        <x:f>IF(D8="","",D8-E8)</x:f>
      </x:c>
      <x:c r="G8" s="16" t="str"/>
    </x:row>
    <x:row r="9">
      <x:c r="A9" s="16" t="str">
        <x:v>Total</x:v>
      </x:c>
      <x:c r="B9" s="16" t="str"/>
      <x:c r="C9" s="16" t="str"/>
      <x:c r="D9" s="19" t="n">
        <x:f>SUM(D5:D8)</x:f>
        <x:v>500</x:v>
      </x:c>
      <x:c r="E9" s="19" t="n">
        <x:f>SUM(E5:E8)</x:f>
        <x:v>0</x:v>
      </x:c>
      <x:c r="F9" s="19" t="n">
        <x:f>SUM(F5:F8)</x:f>
        <x:v>500</x:v>
      </x:c>
      <x:c r="G9" s="16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34" hidden="0" customWidth="1"/>
    <x:col min="5" max="5" width="28" hidden="0" customWidth="1"/>
    <x:col min="6" max="6" width="28" hidden="0" customWidth="1"/>
  </x:cols>
  <x:sheetData>
    <x:row r="1">
      <x:c r="A1" s="3" t="str">
        <x:v>Checklist State</x:v>
      </x:c>
      <x:c r="B1" s="3" t="str">
        <x:v>Checklist State</x:v>
      </x:c>
      <x:c r="C1" s="3" t="str">
        <x:v>Checklist State</x:v>
      </x:c>
      <x:c r="D1" s="3" t="str">
        <x:v>Checklist State</x:v>
      </x:c>
      <x:c r="E1" s="3" t="str">
        <x:v>Checklist State</x:v>
      </x:c>
      <x:c r="F1" s="3" t="str">
        <x:v>Checklist State</x:v>
      </x:c>
    </x:row>
    <x:row r="2">
      <x:c r="A2" s="6" t="str">
        <x:v>Milestone 1 manual checklist state. M3 will turn this into tested reconciliation logic.</x:v>
      </x:c>
      <x:c r="B2" s="6" t="str">
        <x:v>Milestone 1 manual checklist state. M3 will turn this into tested reconciliation logic.</x:v>
      </x:c>
      <x:c r="C2" s="6" t="str">
        <x:v>Milestone 1 manual checklist state. M3 will turn this into tested reconciliation logic.</x:v>
      </x:c>
      <x:c r="D2" s="6" t="str">
        <x:v>Milestone 1 manual checklist state. M3 will turn this into tested reconciliation logic.</x:v>
      </x:c>
      <x:c r="E2" s="6" t="str">
        <x:v>Milestone 1 manual checklist state. M3 will turn this into tested reconciliation logic.</x:v>
      </x:c>
      <x:c r="F2" s="6" t="str">
        <x:v>Milestone 1 manual checklist state. M3 will turn this into tested reconciliation logic.</x:v>
      </x:c>
    </x:row>
    <x:row r="4">
      <x:c r="A4" s="12" t="str">
        <x:v>Document</x:v>
      </x:c>
      <x:c r="B4" s="13" t="str">
        <x:v>Needed?</x:v>
      </x:c>
      <x:c r="C4" s="13" t="str">
        <x:v>Status</x:v>
      </x:c>
      <x:c r="D4" s="13" t="str">
        <x:v>Why needed</x:v>
      </x:c>
      <x:c r="E4" s="13" t="str">
        <x:v>Source/Link</x:v>
      </x:c>
      <x:c r="F4" s="14" t="str">
        <x:v>Notes</x:v>
      </x:c>
    </x:row>
    <x:row r="5">
      <x:c r="A5" s="16" t="str">
        <x:v>Form 16 or pension statement</x:v>
      </x:c>
      <x:c r="B5" s="16" t="str">
        <x:v>Yes</x:v>
      </x:c>
      <x:c r="C5" s="16" t="str">
        <x:v>Needed</x:v>
      </x:c>
      <x:c r="D5" s="16" t="str">
        <x:v>Salary/pension income</x:v>
      </x:c>
      <x:c r="E5" s="16" t="str"/>
      <x:c r="F5" s="16" t="str"/>
    </x:row>
    <x:row r="6">
      <x:c r="A6" s="16" t="str">
        <x:v>AIS / Form 26AS</x:v>
      </x:c>
      <x:c r="B6" s="16" t="str">
        <x:v>Yes</x:v>
      </x:c>
      <x:c r="C6" s="16" t="str">
        <x:v>Needed</x:v>
      </x:c>
      <x:c r="D6" s="16" t="str">
        <x:v>TDS and reported transactions</x:v>
      </x:c>
      <x:c r="E6" s="16" t="str"/>
      <x:c r="F6" s="16" t="str"/>
    </x:row>
    <x:row r="7">
      <x:c r="A7" s="16" t="str">
        <x:v>Bank interest certificates</x:v>
      </x:c>
      <x:c r="B7" s="16" t="str">
        <x:v>Yes</x:v>
      </x:c>
      <x:c r="C7" s="16" t="str">
        <x:v>Needed</x:v>
      </x:c>
      <x:c r="D7" s="16" t="str">
        <x:v>Other income and deductions</x:v>
      </x:c>
      <x:c r="E7" s="16" t="str"/>
      <x:c r="F7" s="16" t="str"/>
    </x:row>
    <x:row r="8">
      <x:c r="A8" s="16" t="str">
        <x:v>Broker/AMC capital gains statement</x:v>
      </x:c>
      <x:c r="B8" s="16" t="str">
        <x:v>Yes</x:v>
      </x:c>
      <x:c r="C8" s="16" t="str">
        <x:v>Sample loaded</x:v>
      </x:c>
      <x:c r="D8" s="16" t="str">
        <x:v>Capital gains classification</x:v>
      </x:c>
      <x:c r="E8" s="16" t="str">
        <x:v>fixtures/sample-broker-statement.csv</x:v>
      </x:c>
      <x:c r="F8" s="16" t="str"/>
    </x:row>
    <x:row r="9">
      <x:c r="A9" s="16" t="str">
        <x:v>Dividend statement</x:v>
      </x:c>
      <x:c r="B9" s="16" t="str">
        <x:v>If applicable</x:v>
      </x:c>
      <x:c r="C9" s="16" t="str">
        <x:v>Sample loaded</x:v>
      </x:c>
      <x:c r="D9" s="16" t="str">
        <x:v>Quarter-wise Schedule OS</x:v>
      </x:c>
      <x:c r="E9" s="16" t="str"/>
      <x:c r="F9" s="16" t="str"/>
    </x:row>
    <x:row r="10">
      <x:c r="A10" s="16" t="str">
        <x:v>Prior-year ITR / CFL</x:v>
      </x:c>
      <x:c r="B10" s="16" t="str">
        <x:v>If losses exist</x:v>
      </x:c>
      <x:c r="C10" s="16" t="str">
        <x:v>Needed</x:v>
      </x:c>
      <x:c r="D10" s="16" t="str">
        <x:v>Carry-forward continuity</x:v>
      </x:c>
      <x:c r="E10" s="16" t="str"/>
      <x:c r="F10" s="16" t="str"/>
    </x:row>
    <x:row r="11">
      <x:c r="A11" s="16" t="str">
        <x:v>NRI documents</x:v>
      </x:c>
      <x:c r="B11" s="16" t="str">
        <x:v>Profile-dependent</x:v>
      </x:c>
      <x:c r="C11" s="16" t="str">
        <x:v>Not applicable</x:v>
      </x:c>
      <x:c r="D11" s="16" t="str">
        <x:v>TRC, 10F, NRE/NRO, TDS</x:v>
      </x:c>
      <x:c r="E11" s="16" t="str"/>
      <x:c r="F11" s="16" t="str"/>
    </x:row>
    <x:row r="12">
      <x:c r="A12" s="16" t="str">
        <x:v>HUF documents</x:v>
      </x:c>
      <x:c r="B12" s="16" t="str">
        <x:v>Profile-dependent</x:v>
      </x:c>
      <x:c r="C12" s="16" t="str">
        <x:v>Not applicable</x:v>
      </x:c>
      <x:c r="D12" s="16" t="str">
        <x:v>Separate PAN and HUF income</x:v>
      </x:c>
      <x:c r="E12" s="16" t="str"/>
      <x:c r="F12" s="16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42" hidden="0" customWidth="1"/>
  </x:cols>
  <x:sheetData>
    <x:row r="1">
      <x:c r="A1" s="3" t="str">
        <x:v>CA Summary</x:v>
      </x:c>
      <x:c r="B1" s="3" t="str">
        <x:v>CA Summary</x:v>
      </x:c>
      <x:c r="C1" s="3" t="str">
        <x:v>CA Summary</x:v>
      </x:c>
      <x:c r="D1" s="3" t="str">
        <x:v>CA Summary</x:v>
      </x:c>
    </x:row>
    <x:row r="2">
      <x:c r="A2" s="6" t="str">
        <x:v>Clean figures only. This is the sheet intended for CA handover.</x:v>
      </x:c>
      <x:c r="B2" s="6" t="str">
        <x:v>Clean figures only. This is the sheet intended for CA handover.</x:v>
      </x:c>
      <x:c r="C2" s="6" t="str">
        <x:v>Clean figures only. This is the sheet intended for CA handover.</x:v>
      </x:c>
      <x:c r="D2" s="6" t="str">
        <x:v>Clean figures only. This is the sheet intended for CA handover.</x:v>
      </x:c>
    </x:row>
    <x:row r="4">
      <x:c r="A4" s="12" t="str">
        <x:v>Head</x:v>
      </x:c>
      <x:c r="B4" s="13" t="str">
        <x:v>Rule/Section</x:v>
      </x:c>
      <x:c r="C4" s="13" t="str">
        <x:v>Amount</x:v>
      </x:c>
      <x:c r="D4" s="14" t="str">
        <x:v>Notes</x:v>
      </x:c>
    </x:row>
    <x:row r="5">
      <x:c r="A5" s="16" t="str">
        <x:v>Speculative / Intraday income</x:v>
      </x:c>
      <x:c r="B5" s="16" t="str">
        <x:v>Business income</x:v>
      </x:c>
      <x:c r="C5" s="19" t="n">
        <x:f>'Detailed Summary'!D5</x:f>
        <x:v>800</x:v>
      </x:c>
      <x:c r="D5" s="16" t="str">
        <x:v>From Detailed Summary</x:v>
      </x:c>
    </x:row>
    <x:row r="6">
      <x:c r="A6" s="16" t="str">
        <x:v>Short-Term Capital Gains</x:v>
      </x:c>
      <x:c r="B6" s="16" t="str">
        <x:v>111A</x:v>
      </x:c>
      <x:c r="C6" s="19" t="n">
        <x:f>'Detailed Summary'!D6</x:f>
        <x:v>-500</x:v>
      </x:c>
      <x:c r="D6" s="16" t="str">
        <x:v>From Detailed Summary</x:v>
      </x:c>
    </x:row>
    <x:row r="7">
      <x:c r="A7" s="16" t="str">
        <x:v>Long-Term Capital Gains</x:v>
      </x:c>
      <x:c r="B7" s="16" t="str">
        <x:v>112A</x:v>
      </x:c>
      <x:c r="C7" s="19" t="n">
        <x:f>'Detailed Summary'!D7</x:f>
        <x:v>5500</x:v>
      </x:c>
      <x:c r="D7" s="16" t="str">
        <x:v>From Detailed Summary</x:v>
      </x:c>
    </x:row>
    <x:row r="8">
      <x:c r="A8" s="16" t="str">
        <x:v>Dividends</x:v>
      </x:c>
      <x:c r="B8" s="16" t="str">
        <x:v>Schedule OS</x:v>
      </x:c>
      <x:c r="C8" s="19" t="n">
        <x:f>'Detailed Summary'!D8</x:f>
        <x:v>4000</x:v>
      </x:c>
      <x:c r="D8" s="16" t="str">
        <x:v>Quarter-wise detail in Dividends tab</x:v>
      </x:c>
    </x:row>
    <x:row r="9">
      <x:c r="A9" s="16" t="str">
        <x:v>Interest &amp; other income</x:v>
      </x:c>
      <x:c r="B9" s="16" t="str">
        <x:v>Schedule OS</x:v>
      </x:c>
      <x:c r="C9" s="19" t="n">
        <x:f>'Detailed Summary'!D9</x:f>
        <x:v>24000</x:v>
      </x:c>
      <x:c r="D9" s="16" t="str">
        <x:v>From certificates/AIS</x:v>
      </x:c>
    </x:row>
    <x:row r="10">
      <x:c r="A10" s="16" t="str">
        <x:v>Eligible interest deduction</x:v>
      </x:c>
      <x:c r="B10" s="16" t="str">
        <x:v>80TTA/80TTB</x:v>
      </x:c>
      <x:c r="C10" s="19" t="n">
        <x:f>'Detailed Summary'!D10</x:f>
        <x:v>0</x:v>
      </x:c>
      <x:c r="D10" s="16" t="str">
        <x:v>Profile-dependent</x:v>
      </x:c>
    </x:row>
    <x:row r="11">
      <x:c r="A11" s="16" t="str">
        <x:v>Deductible transaction charges</x:v>
      </x:c>
      <x:c r="B11" s="16" t="str">
        <x:v>Expense split</x:v>
      </x:c>
      <x:c r="C11" s="19" t="n">
        <x:f>'Detailed Summary'!D11</x:f>
        <x:v>160</x:v>
      </x:c>
      <x:c r="D11" s="16" t="str">
        <x:v>Check source treatment</x:v>
      </x:c>
    </x:row>
    <x:row r="12">
      <x:c r="A12" s="16" t="str">
        <x:v>Carry-forward losses available</x:v>
      </x:c>
      <x:c r="B12" s="16" t="str">
        <x:v>CFL</x:v>
      </x:c>
      <x:c r="C12" s="19" t="n">
        <x:f>'Detailed Summary'!D12</x:f>
        <x:v>500</x:v>
      </x:c>
      <x:c r="D12" s="16" t="str">
        <x:v>From register</x:v>
      </x:c>
    </x:row>
    <x:row r="13">
      <x:c r="A13" s="16" t="str">
        <x:v>Recommended ITR form</x:v>
      </x:c>
      <x:c r="B13" s="16" t="str"/>
      <x:c r="C13" s="16" t="str">
        <x:f>'ITR Form Guide'!B5</x:f>
        <x:v>ITR-3</x:v>
      </x:c>
      <x:c r="D13" s="16" t="str"/>
    </x:row>
    <x:row r="14">
      <x:c r="A14" s="16" t="str">
        <x:v>CA review recommendation</x:v>
      </x:c>
      <x:c r="B14" s="16" t="str"/>
      <x:c r="C14" s="16" t="str">
        <x:f>'Detailed Summary'!F15</x:f>
        <x:v>Get CA review before filing</x:v>
      </x:c>
      <x:c r="D14" s="16" t="str"/>
    </x:row>
  </x:sheetData>
  <x:mergeCells>
    <x:mergeCell ref="A1:D1"/>
    <x:mergeCell ref="A2:D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62" hidden="0" customWidth="1"/>
  </x:cols>
  <x:sheetData>
    <x:row r="1">
      <x:c r="A1" s="3" t="str">
        <x:v>Detailed Summary</x:v>
      </x:c>
      <x:c r="B1" s="3" t="str">
        <x:v>Detailed Summary</x:v>
      </x:c>
      <x:c r="C1" s="3" t="str">
        <x:v>Detailed Summary</x:v>
      </x:c>
      <x:c r="D1" s="3" t="str">
        <x:v>Detailed Summary</x:v>
      </x:c>
      <x:c r="E1" s="3" t="str">
        <x:v>Detailed Summary</x:v>
      </x:c>
      <x:c r="F1" s="3" t="str">
        <x:v>Detailed Summary</x:v>
      </x:c>
    </x:row>
    <x:row r="2">
      <x:c r="A2" s="6" t="str">
        <x:v>Working view with formula-backed totals, risk flags, and notes. Advanced view source for exports.</x:v>
      </x:c>
      <x:c r="B2" s="6" t="str">
        <x:v>Working view with formula-backed totals, risk flags, and notes. Advanced view source for exports.</x:v>
      </x:c>
      <x:c r="C2" s="6" t="str">
        <x:v>Working view with formula-backed totals, risk flags, and notes. Advanced view source for exports.</x:v>
      </x:c>
      <x:c r="D2" s="6" t="str">
        <x:v>Working view with formula-backed totals, risk flags, and notes. Advanced view source for exports.</x:v>
      </x:c>
      <x:c r="E2" s="6" t="str">
        <x:v>Working view with formula-backed totals, risk flags, and notes. Advanced view source for exports.</x:v>
      </x:c>
      <x:c r="F2" s="6" t="str">
        <x:v>Working view with formula-backed totals, risk flags, and notes. Advanced view source for exports.</x:v>
      </x:c>
    </x:row>
    <x:row r="4">
      <x:c r="A4" s="12" t="str">
        <x:v>Section</x:v>
      </x:c>
      <x:c r="B4" s="13" t="str">
        <x:v>Income Head</x:v>
      </x:c>
      <x:c r="C4" s="13" t="str">
        <x:v>Rule</x:v>
      </x:c>
      <x:c r="D4" s="13" t="str">
        <x:v>Amount</x:v>
      </x:c>
      <x:c r="E4" s="13" t="str">
        <x:v>Tax Estimate</x:v>
      </x:c>
      <x:c r="F4" s="14" t="str">
        <x:v>Plain-language note</x:v>
      </x:c>
    </x:row>
    <x:row r="5">
      <x:c r="A5" s="16" t="str">
        <x:v>Capital gains</x:v>
      </x:c>
      <x:c r="B5" s="16" t="str">
        <x:v>Speculative / Intraday</x:v>
      </x:c>
      <x:c r="C5" s="16" t="str">
        <x:v>Business income</x:v>
      </x:c>
      <x:c r="D5" s="19" t="n">
        <x:f>SUMIF('Working - Sample Broker'!$J$5:$J$9,"Intraday",'Working - Sample Broker'!$K$5:$K$9)</x:f>
        <x:v>800</x:v>
      </x:c>
      <x:c r="E5" s="19" t="n">
        <x:f>MAX(0,D5)*0.30</x:f>
        <x:v>240</x:v>
      </x:c>
      <x:c r="F5" s="16" t="str">
        <x:v>Taxed at slab rate; can move filer to ITR-3.</x:v>
      </x:c>
    </x:row>
    <x:row r="6">
      <x:c r="A6" s="16" t="str">
        <x:v>Capital gains</x:v>
      </x:c>
      <x:c r="B6" s="16" t="str">
        <x:v>Short-Term Capital Gains</x:v>
      </x:c>
      <x:c r="C6" s="16" t="str">
        <x:v>111A</x:v>
      </x:c>
      <x:c r="D6" s="19" t="n">
        <x:f>SUMIF('Working - Sample Broker'!$J$5:$J$9,"ST",'Working - Sample Broker'!$K$5:$K$9)</x:f>
        <x:v>-500</x:v>
      </x:c>
      <x:c r="E6" s="19" t="n">
        <x:f>MAX(0,D6)*0.20</x:f>
        <x:v>0</x:v>
      </x:c>
      <x:c r="F6" s="16" t="str">
        <x:v>20% flat rate if net gain; losses may carry forward if filed on time.</x:v>
      </x:c>
    </x:row>
    <x:row r="7">
      <x:c r="A7" s="16" t="str">
        <x:v>Capital gains</x:v>
      </x:c>
      <x:c r="B7" s="16" t="str">
        <x:v>Long-Term Capital Gains</x:v>
      </x:c>
      <x:c r="C7" s="16" t="str">
        <x:v>112A</x:v>
      </x:c>
      <x:c r="D7" s="19" t="n">
        <x:f>SUMIF('Working - Sample Broker'!$J$5:$J$9,"LT",'Working - Sample Broker'!$K$5:$K$9)</x:f>
        <x:v>5500</x:v>
      </x:c>
      <x:c r="E7" s="19" t="n">
        <x:f>MAX(0,D7-125000)*0.125</x:f>
        <x:v>0</x:v>
      </x:c>
      <x:c r="F7" s="16" t="str">
        <x:v>12.5% above annual exemption if net gain; LTCL offsets LTCG only.</x:v>
      </x:c>
    </x:row>
    <x:row r="8">
      <x:c r="A8" s="16" t="str">
        <x:v>Dividends</x:v>
      </x:c>
      <x:c r="B8" s="16" t="str">
        <x:v>Dividend income</x:v>
      </x:c>
      <x:c r="C8" s="16" t="str">
        <x:v>Schedule OS</x:v>
      </x:c>
      <x:c r="D8" s="19" t="n">
        <x:f>Dividends!D8</x:f>
        <x:v>4000</x:v>
      </x:c>
      <x:c r="E8" s="19" t="n">
        <x:f>MAX(0,D8)*0.30</x:f>
        <x:v>1200</x:v>
      </x:c>
      <x:c r="F8" s="16" t="str">
        <x:v>Report quarter-wise, not only annually.</x:v>
      </x:c>
    </x:row>
    <x:row r="9">
      <x:c r="A9" s="16" t="str">
        <x:v>Other income</x:v>
      </x:c>
      <x:c r="B9" s="16" t="str">
        <x:v>Interest &amp; other income</x:v>
      </x:c>
      <x:c r="C9" s="16" t="str">
        <x:v>Slab</x:v>
      </x:c>
      <x:c r="D9" s="19" t="n">
        <x:f>'Interest &amp; Other Income'!C8</x:f>
        <x:v>24000</x:v>
      </x:c>
      <x:c r="E9" s="19" t="n">
        <x:f>MAX(0,D9-D10)*0.30</x:f>
        <x:v>7200</x:v>
      </x:c>
      <x:c r="F9" s="16" t="str">
        <x:v>Check AIS/Form 26AS against certificates.</x:v>
      </x:c>
    </x:row>
    <x:row r="10">
      <x:c r="A10" s="16" t="str">
        <x:v>Deductions</x:v>
      </x:c>
      <x:c r="B10" s="16" t="str">
        <x:v>Eligible interest deduction</x:v>
      </x:c>
      <x:c r="C10" s="16" t="str">
        <x:v>80TTA/80TTB</x:v>
      </x:c>
      <x:c r="D10" s="19" t="n">
        <x:f>'Interest &amp; Other Income'!E8</x:f>
        <x:v>0</x:v>
      </x:c>
      <x:c r="E10" s="19"/>
      <x:c r="F10" s="16" t="str">
        <x:v>Profile-dependent; senior citizen treatment differs.</x:v>
      </x:c>
    </x:row>
    <x:row r="11">
      <x:c r="A11" s="16" t="str">
        <x:v>Charges</x:v>
      </x:c>
      <x:c r="B11" s="16" t="str">
        <x:v>Deductible transaction charges</x:v>
      </x:c>
      <x:c r="C11" s="16" t="str">
        <x:v>STT split</x:v>
      </x:c>
      <x:c r="D11" s="19" t="n">
        <x:f>'Transaction Charges'!F8</x:f>
        <x:v>160</x:v>
      </x:c>
      <x:c r="E11" s="19"/>
      <x:c r="F11" s="16" t="str">
        <x:v>Check whether broker values already include charges.</x:v>
      </x:c>
    </x:row>
    <x:row r="12">
      <x:c r="A12" s="16" t="str">
        <x:v>Loss register</x:v>
      </x:c>
      <x:c r="B12" s="16" t="str">
        <x:v>Carry-forward losses</x:v>
      </x:c>
      <x:c r="C12" s="16" t="str">
        <x:v>CFL</x:v>
      </x:c>
      <x:c r="D12" s="19" t="n">
        <x:f>'Carry Forward Losses'!F9</x:f>
        <x:v>500</x:v>
      </x:c>
      <x:c r="E12" s="19"/>
      <x:c r="F12" s="16" t="str">
        <x:v>Preserved only if return filed by applicable due date.</x:v>
      </x:c>
    </x:row>
    <x:row r="13">
      <x:c r="A13" s="16" t="str"/>
      <x:c r="B13" s="16" t="str"/>
      <x:c r="C13" s="16" t="str"/>
      <x:c r="D13" s="19"/>
      <x:c r="E13" s="19"/>
      <x:c r="F13" s="16" t="str"/>
    </x:row>
    <x:row r="14">
      <x:c r="A14" s="16" t="str">
        <x:v>Risk flag</x:v>
      </x:c>
      <x:c r="B14" s="16" t="str">
        <x:v>ITR form</x:v>
      </x:c>
      <x:c r="C14" s="16" t="str"/>
      <x:c r="D14" s="16"/>
      <x:c r="E14" s="16"/>
      <x:c r="F14" s="16" t="str">
        <x:f>IF('ITR Form Guide'!B5="ITR-3","ITR-3 due to business/speculative income",'ITR Form Guide'!B5)</x:f>
        <x:v>ITR-3 due to business/speculative income</x:v>
      </x:c>
    </x:row>
    <x:row r="15">
      <x:c r="A15" s="16" t="str">
        <x:v>Risk flag</x:v>
      </x:c>
      <x:c r="B15" s="16" t="str">
        <x:v>CA review recommendation</x:v>
      </x:c>
      <x:c r="C15" s="16" t="str"/>
      <x:c r="D15" s="16"/>
      <x:c r="E15" s="16"/>
      <x:c r="F15" s="16" t="str">
        <x:f>IF(OR('ITR Form Guide'!B5="ITR-3",Profile!B8&lt;&gt;"Resident",Profile!B11="Yes",Profile!B12="Yes"),"Get CA review before filing","Self-file may be reasonable after checks")</x:f>
        <x:v>Get CA review before filing</x:v>
      </x:c>
    </x:row>
    <x:row r="16">
      <x:c r="A16" s="16" t="str">
        <x:v>Risk flag</x:v>
      </x:c>
      <x:c r="B16" s="16" t="str">
        <x:v>Missing checklist count</x:v>
      </x:c>
      <x:c r="C16" s="16" t="str"/>
      <x:c r="D16" s="16"/>
      <x:c r="E16" s="16"/>
      <x:c r="F16" s="16" t="n">
        <x:f>COUNTIF('Checklist State'!$C$5:$C$12,"Needed")</x:f>
        <x:v>4</x:v>
      </x:c>
    </x:row>
    <x:row r="17">
      <x:c r="A17" s="16" t="str"/>
      <x:c r="B17" s="16" t="str"/>
      <x:c r="C17" s="16" t="str"/>
      <x:c r="D17" s="16"/>
      <x:c r="E17" s="16"/>
      <x:c r="F17" s="16" t="str"/>
    </x:row>
    <x:row r="18">
      <x:c r="A18" s="16" t="str">
        <x:v>Output</x:v>
      </x:c>
      <x:c r="B18" s="16" t="str">
        <x:v>CA Summary ready?</x:v>
      </x:c>
      <x:c r="C18" s="16" t="str"/>
      <x:c r="D18" s="16"/>
      <x:c r="E18" s="16"/>
      <x:c r="F18" s="16" t="str">
        <x:f>IF(F16=0,"Ready after review","Not ready - checklist still has missing items")</x:f>
        <x:v>Not ready - checklist still has missing items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0" hidden="0" customWidth="1"/>
    <x:col min="4" max="4" width="28" hidden="0" customWidth="1"/>
    <x:col min="5" max="5" width="50" hidden="0" customWidth="1"/>
  </x:cols>
  <x:sheetData>
    <x:row r="1">
      <x:c r="A1" s="3" t="str">
        <x:v>ITR Form Guide</x:v>
      </x:c>
      <x:c r="B1" s="3" t="str">
        <x:v>ITR Form Guide</x:v>
      </x:c>
      <x:c r="C1" s="3" t="str">
        <x:v>ITR Form Guide</x:v>
      </x:c>
      <x:c r="D1" s="3" t="str">
        <x:v>ITR Form Guide</x:v>
      </x:c>
      <x:c r="E1" s="3" t="str">
        <x:v>ITR Form Guide</x:v>
      </x:c>
    </x:row>
    <x:row r="2">
      <x:c r="A2" s="6" t="str">
        <x:v>Auto-suggested return form from profile and income flags.</x:v>
      </x:c>
      <x:c r="B2" s="6" t="str">
        <x:v>Auto-suggested return form from profile and income flags.</x:v>
      </x:c>
      <x:c r="C2" s="6" t="str">
        <x:v>Auto-suggested return form from profile and income flags.</x:v>
      </x:c>
      <x:c r="D2" s="6" t="str">
        <x:v>Auto-suggested return form from profile and income flags.</x:v>
      </x:c>
      <x:c r="E2" s="6" t="str">
        <x:v>Auto-suggested return form from profile and income flags.</x:v>
      </x:c>
    </x:row>
    <x:row r="4">
      <x:c r="A4" s="12" t="str">
        <x:v>Question</x:v>
      </x:c>
      <x:c r="B4" s="13" t="str">
        <x:v>Answer</x:v>
      </x:c>
      <x:c r="C4" s="13" t="str">
        <x:v>Formula Source</x:v>
      </x:c>
      <x:c r="D4" s="13" t="str">
        <x:v>Impact</x:v>
      </x:c>
      <x:c r="E4" s="14" t="str">
        <x:v>Notes</x:v>
      </x:c>
    </x:row>
    <x:row r="5">
      <x:c r="A5" s="16" t="str">
        <x:v>Suggested ITR form</x:v>
      </x:c>
      <x:c r="B5" s="16" t="str">
        <x:f>IF(Profile!B10="Yes","ITR-3",IF(OR(Profile!B8&lt;&gt;"Resident",Profile!B11="Yes",Profile!B12="Yes"),"ITR-2","ITR-2"))</x:f>
        <x:v>ITR-3</x:v>
      </x:c>
      <x:c r="C5" s="16" t="str">
        <x:v>Formula</x:v>
      </x:c>
      <x:c r="D5" s="16" t="str">
        <x:v>Use in CA Summary</x:v>
      </x:c>
      <x:c r="E5" s="16" t="str">
        <x:v>Template logic only; confirm annually.</x:v>
      </x:c>
    </x:row>
    <x:row r="6">
      <x:c r="A6" s="16" t="str">
        <x:v>Due date</x:v>
      </x:c>
      <x:c r="B6" s="16" t="str">
        <x:f>IF(B5="ITR-3","31-Aug-2026","31-Jul-2026")</x:f>
        <x:v>31-Aug-2026</x:v>
      </x:c>
      <x:c r="C6" s="16" t="str">
        <x:v>Formula</x:v>
      </x:c>
      <x:c r="D6" s="16" t="str">
        <x:v>Used in risk notes</x:v>
      </x:c>
      <x:c r="E6" s="16" t="str">
        <x:v>AY2026-27 split: ITR-3 non-audit due later than ITR-1/2.</x:v>
      </x:c>
    </x:row>
    <x:row r="7">
      <x:c r="A7" s="16" t="str">
        <x:v>Why</x:v>
      </x:c>
      <x:c r="B7" s="16" t="str">
        <x:f>IF(Profile!B10="Yes","Business/speculative income is present.","Capital gains or profile flags require review before choosing a simpler form.")</x:f>
        <x:v>Business/speculative income is present.</x:v>
      </x:c>
      <x:c r="C7" s="16" t="str">
        <x:v>Formula</x:v>
      </x:c>
      <x:c r="D7" s="16" t="str">
        <x:v>Plain-language explanation</x:v>
      </x:c>
      <x:c r="E7" s="16" t="str"/>
    </x:row>
    <x:row r="8">
      <x:c r="A8" s="16" t="str">
        <x:v>NRI/HUF present?</x:v>
      </x:c>
      <x:c r="B8" s="16" t="str">
        <x:f>IF(OR(Profile!B8&lt;&gt;"Resident",Profile!B11="Yes"),"Yes","No")</x:f>
        <x:v>No</x:v>
      </x:c>
      <x:c r="C8" s="16" t="str">
        <x:v>Formula</x:v>
      </x:c>
      <x:c r="D8" s="16" t="str">
        <x:v>Review trigger</x:v>
      </x:c>
      <x:c r="E8" s="16" t="str"/>
    </x:row>
    <x:row r="9">
      <x:c r="A9" s="16" t="str">
        <x:v>Business/speculative income present?</x:v>
      </x:c>
      <x:c r="B9" s="16" t="str">
        <x:f>Profile!B10</x:f>
        <x:v>Yes</x:v>
      </x:c>
      <x:c r="C9" s="16" t="str">
        <x:v>Formula</x:v>
      </x:c>
      <x:c r="D9" s="16" t="str">
        <x:v>ITR-3 trigger</x:v>
      </x:c>
      <x:c r="E9" s="16" t="str"/>
    </x:row>
  </x:sheetData>
  <x:mergeCells>
    <x:mergeCell ref="A1:E1"/>
    <x:mergeCell ref="A2:E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3" t="str">
        <x:v>NRE-NRO Tracker</x:v>
      </x:c>
      <x:c r="B1" s="3" t="str">
        <x:v>NRE-NRO Tracker</x:v>
      </x:c>
      <x:c r="C1" s="3" t="str">
        <x:v>NRE-NRO Tracker</x:v>
      </x:c>
      <x:c r="D1" s="3" t="str">
        <x:v>NRE-NRO Tracker</x:v>
      </x:c>
      <x:c r="E1" s="3" t="str">
        <x:v>NRE-NRO Tracker</x:v>
      </x:c>
      <x:c r="F1" s="3" t="str">
        <x:v>NRE-NRO Tracker</x:v>
      </x:c>
    </x:row>
    <x:row r="2">
      <x:c r="A2" s="6" t="str">
        <x:v>NRI-only tab. Keep NRE and NRO interest separate.</x:v>
      </x:c>
      <x:c r="B2" s="6" t="str">
        <x:v>NRI-only tab. Keep NRE and NRO interest separate.</x:v>
      </x:c>
      <x:c r="C2" s="6" t="str">
        <x:v>NRI-only tab. Keep NRE and NRO interest separate.</x:v>
      </x:c>
      <x:c r="D2" s="6" t="str">
        <x:v>NRI-only tab. Keep NRE and NRO interest separate.</x:v>
      </x:c>
      <x:c r="E2" s="6" t="str">
        <x:v>NRI-only tab. Keep NRE and NRO interest separate.</x:v>
      </x:c>
      <x:c r="F2" s="6" t="str">
        <x:v>NRI-only tab. Keep NRE and NRO interest separate.</x:v>
      </x:c>
    </x:row>
    <x:row r="4">
      <x:c r="A4" s="12" t="str">
        <x:v>Account</x:v>
      </x:c>
      <x:c r="B4" s="13" t="str">
        <x:v>Type</x:v>
      </x:c>
      <x:c r="C4" s="13" t="str">
        <x:v>Interest</x:v>
      </x:c>
      <x:c r="D4" s="13" t="str">
        <x:v>Taxable?</x:v>
      </x:c>
      <x:c r="E4" s="13" t="str">
        <x:v>TDS</x:v>
      </x:c>
      <x:c r="F4" s="14" t="str">
        <x:v>Notes</x:v>
      </x:c>
    </x:row>
    <x:row r="5">
      <x:c r="A5" s="16" t="str">
        <x:v>Sample NRO</x:v>
      </x:c>
      <x:c r="B5" s="16" t="str">
        <x:v>NRO</x:v>
      </x:c>
      <x:c r="C5" s="16" t="n">
        <x:v>0</x:v>
      </x:c>
      <x:c r="D5" s="16" t="str">
        <x:v>Yes</x:v>
      </x:c>
      <x:c r="E5" s="16" t="n">
        <x:v>0</x:v>
      </x:c>
      <x:c r="F5" s="16" t="str">
        <x:v>NRO interest is taxable</x:v>
      </x:c>
    </x:row>
    <x:row r="6">
      <x:c r="A6" s="16" t="str">
        <x:v>Sample NRE</x:v>
      </x:c>
      <x:c r="B6" s="16" t="str">
        <x:v>NRE</x:v>
      </x:c>
      <x:c r="C6" s="16" t="n">
        <x:v>0</x:v>
      </x:c>
      <x:c r="D6" s="16" t="str">
        <x:v>No</x:v>
      </x:c>
      <x:c r="E6" s="16" t="n">
        <x:v>0</x:v>
      </x:c>
      <x:c r="F6" s="16" t="str">
        <x:v>NRE interest is generally exempt while NRI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22" hidden="0" customWidth="1"/>
    <x:col min="4" max="4" width="22" hidden="0" customWidth="1"/>
    <x:col min="5" max="5" width="16" hidden="0" customWidth="1"/>
    <x:col min="6" max="6" width="14" hidden="0" customWidth="1"/>
  </x:cols>
  <x:sheetData>
    <x:row r="1">
      <x:c r="A1" s="3" t="str">
        <x:v>TDS Reconciliation</x:v>
      </x:c>
      <x:c r="B1" s="3" t="str">
        <x:v>TDS Reconciliation</x:v>
      </x:c>
      <x:c r="C1" s="3" t="str">
        <x:v>TDS Reconciliation</x:v>
      </x:c>
      <x:c r="D1" s="3" t="str">
        <x:v>TDS Reconciliation</x:v>
      </x:c>
      <x:c r="E1" s="3" t="str">
        <x:v>TDS Reconciliation</x:v>
      </x:c>
      <x:c r="F1" s="3" t="str">
        <x:v>TDS Reconciliation</x:v>
      </x:c>
    </x:row>
    <x:row r="2">
      <x:c r="A2" s="6" t="str">
        <x:v>NRI and general TDS cross-check against AIS/Form 26AS.</x:v>
      </x:c>
      <x:c r="B2" s="6" t="str">
        <x:v>NRI and general TDS cross-check against AIS/Form 26AS.</x:v>
      </x:c>
      <x:c r="C2" s="6" t="str">
        <x:v>NRI and general TDS cross-check against AIS/Form 26AS.</x:v>
      </x:c>
      <x:c r="D2" s="6" t="str">
        <x:v>NRI and general TDS cross-check against AIS/Form 26AS.</x:v>
      </x:c>
      <x:c r="E2" s="6" t="str">
        <x:v>NRI and general TDS cross-check against AIS/Form 26AS.</x:v>
      </x:c>
      <x:c r="F2" s="6" t="str">
        <x:v>NRI and general TDS cross-check against AIS/Form 26AS.</x:v>
      </x:c>
    </x:row>
    <x:row r="4">
      <x:c r="A4" s="12" t="str">
        <x:v>Source</x:v>
      </x:c>
      <x:c r="B4" s="13" t="str">
        <x:v>Income Type</x:v>
      </x:c>
      <x:c r="C4" s="13" t="str">
        <x:v>TDS per Document</x:v>
      </x:c>
      <x:c r="D4" s="13" t="str">
        <x:v>TDS per AIS/26AS</x:v>
      </x:c>
      <x:c r="E4" s="13" t="str">
        <x:v>Difference</x:v>
      </x:c>
      <x:c r="F4" s="14" t="str">
        <x:v>Notes</x:v>
      </x:c>
    </x:row>
    <x:row r="5">
      <x:c r="A5" s="16" t="str">
        <x:v>Sample Broker</x:v>
      </x:c>
      <x:c r="B5" s="16" t="str">
        <x:v>Capital gains</x:v>
      </x:c>
      <x:c r="C5" s="16" t="n">
        <x:v>0</x:v>
      </x:c>
      <x:c r="D5" s="16" t="n">
        <x:v>0</x:v>
      </x:c>
      <x:c r="E5" s="16" t="n">
        <x:f>C5-D5</x:f>
        <x:v>0</x:v>
      </x:c>
      <x:c r="F5" s="16" t="str">
        <x:v>NRI broker TDS goes here</x:v>
      </x:c>
    </x:row>
    <x:row r="6">
      <x:c r="A6" s="16" t="str">
        <x:v>Sample Bank</x:v>
      </x:c>
      <x:c r="B6" s="16" t="str">
        <x:v>Interest</x:v>
      </x:c>
      <x:c r="C6" s="16" t="n">
        <x:v>1800</x:v>
      </x:c>
      <x:c r="D6" s="16" t="n">
        <x:v>1800</x:v>
      </x:c>
      <x:c r="E6" s="16" t="n">
        <x:f>C6-D6</x:f>
        <x:v>0</x:v>
      </x:c>
      <x:c r="F6" s="16" t="str">
        <x:v>Synthetic example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3" t="str">
        <x:v>DTAA &amp; Residency</x:v>
      </x:c>
      <x:c r="B1" s="3" t="str">
        <x:v>DTAA &amp; Residency</x:v>
      </x:c>
      <x:c r="C1" s="3" t="str">
        <x:v>DTAA &amp; Residency</x:v>
      </x:c>
      <x:c r="D1" s="3" t="str">
        <x:v>DTAA &amp; Residency</x:v>
      </x:c>
      <x:c r="E1" s="3" t="str">
        <x:v>DTAA &amp; Residency</x:v>
      </x:c>
    </x:row>
    <x:row r="2">
      <x:c r="A2" s="6" t="str">
        <x:v>NRI-only residency and treaty documentation checklist.</x:v>
      </x:c>
      <x:c r="B2" s="6" t="str">
        <x:v>NRI-only residency and treaty documentation checklist.</x:v>
      </x:c>
      <x:c r="C2" s="6" t="str">
        <x:v>NRI-only residency and treaty documentation checklist.</x:v>
      </x:c>
      <x:c r="D2" s="6" t="str">
        <x:v>NRI-only residency and treaty documentation checklist.</x:v>
      </x:c>
      <x:c r="E2" s="6" t="str">
        <x:v>NRI-only residency and treaty documentation checklist.</x:v>
      </x:c>
    </x:row>
    <x:row r="4">
      <x:c r="A4" s="12" t="str">
        <x:v>Field</x:v>
      </x:c>
      <x:c r="B4" s="13" t="str">
        <x:v>Value</x:v>
      </x:c>
      <x:c r="C4" s="13" t="str">
        <x:v>Needed?</x:v>
      </x:c>
      <x:c r="D4" s="13" t="str">
        <x:v>Status</x:v>
      </x:c>
      <x:c r="E4" s="14" t="str">
        <x:v>Notes</x:v>
      </x:c>
    </x:row>
    <x:row r="5">
      <x:c r="A5" s="16" t="str">
        <x:v>Country of tax residence</x:v>
      </x:c>
      <x:c r="B5" s="16" t="str"/>
      <x:c r="C5" s="16" t="str">
        <x:v>If NRI</x:v>
      </x:c>
      <x:c r="D5" s="16" t="str">
        <x:v>Needed</x:v>
      </x:c>
      <x:c r="E5" s="16" t="str"/>
    </x:row>
    <x:row r="6">
      <x:c r="A6" s="16" t="str">
        <x:v>TRC available?</x:v>
      </x:c>
      <x:c r="B6" s="16" t="str"/>
      <x:c r="C6" s="16" t="str">
        <x:v>If claiming DTAA</x:v>
      </x:c>
      <x:c r="D6" s="16" t="str">
        <x:v>Needed</x:v>
      </x:c>
      <x:c r="E6" s="16" t="str"/>
    </x:row>
    <x:row r="7">
      <x:c r="A7" s="16" t="str">
        <x:v>Form 10F filed?</x:v>
      </x:c>
      <x:c r="B7" s="16" t="str"/>
      <x:c r="C7" s="16" t="str">
        <x:v>If claiming DTAA</x:v>
      </x:c>
      <x:c r="D7" s="16" t="str">
        <x:v>Needed</x:v>
      </x:c>
      <x:c r="E7" s="16" t="str"/>
    </x:row>
  </x:sheetData>
  <x:mergeCells>
    <x:mergeCell ref="A1:E1"/>
    <x:mergeCell ref="A2:E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7" hidden="0" customWidth="1"/>
    <x:col min="5" max="5" width="19" hidden="0" customWidth="1"/>
    <x:col min="6" max="6" width="14" hidden="0" customWidth="1"/>
  </x:cols>
  <x:sheetData>
    <x:row r="1">
      <x:c r="A1" s="3" t="str">
        <x:v>Repatriation Log</x:v>
      </x:c>
      <x:c r="B1" s="3" t="str">
        <x:v>Repatriation Log</x:v>
      </x:c>
      <x:c r="C1" s="3" t="str">
        <x:v>Repatriation Log</x:v>
      </x:c>
      <x:c r="D1" s="3" t="str">
        <x:v>Repatriation Log</x:v>
      </x:c>
      <x:c r="E1" s="3" t="str">
        <x:v>Repatriation Log</x:v>
      </x:c>
      <x:c r="F1" s="3" t="str">
        <x:v>Repatriation Log</x:v>
      </x:c>
    </x:row>
    <x:row r="2">
      <x:c r="A2" s="6" t="str">
        <x:v>NRI-only NRO remittance tracking.</x:v>
      </x:c>
      <x:c r="B2" s="6" t="str">
        <x:v>NRI-only NRO remittance tracking.</x:v>
      </x:c>
      <x:c r="C2" s="6" t="str">
        <x:v>NRI-only NRO remittance tracking.</x:v>
      </x:c>
      <x:c r="D2" s="6" t="str">
        <x:v>NRI-only NRO remittance tracking.</x:v>
      </x:c>
      <x:c r="E2" s="6" t="str">
        <x:v>NRI-only NRO remittance tracking.</x:v>
      </x:c>
      <x:c r="F2" s="6" t="str">
        <x:v>NRI-only NRO remittance tracking.</x:v>
      </x:c>
    </x:row>
    <x:row r="4">
      <x:c r="A4" s="12" t="str">
        <x:v>Date</x:v>
      </x:c>
      <x:c r="B4" s="13" t="str">
        <x:v>Account</x:v>
      </x:c>
      <x:c r="C4" s="13" t="str">
        <x:v>Amount USD</x:v>
      </x:c>
      <x:c r="D4" s="13" t="str">
        <x:v>Form status</x:v>
      </x:c>
      <x:c r="E4" s="13" t="str">
        <x:v>Running Total</x:v>
      </x:c>
      <x:c r="F4" s="14" t="str">
        <x:v>Notes</x:v>
      </x:c>
    </x:row>
    <x:row r="5">
      <x:c r="A5" s="16"/>
      <x:c r="B5" s="16" t="str"/>
      <x:c r="C5" s="16" t="n">
        <x:v>0</x:v>
      </x:c>
      <x:c r="D5" s="16" t="str"/>
      <x:c r="E5" s="16" t="n">
        <x:v>0</x:v>
      </x:c>
      <x:c r="F5" s="16" t="str">
        <x:v>Track against annual limit</x:v>
      </x:c>
    </x:row>
    <x:row r="6">
      <x:c r="A6" s="16"/>
      <x:c r="B6" s="16" t="str"/>
      <x:c r="C6" s="16" t="n">
        <x:v>0</x:v>
      </x:c>
      <x:c r="D6" s="16" t="str"/>
      <x:c r="E6" s="16" t="n">
        <x:v>0</x:v>
      </x:c>
      <x:c r="F6" s="16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3" t="str">
        <x:v>Coparceners &amp; Members</x:v>
      </x:c>
      <x:c r="B1" s="3" t="str">
        <x:v>Coparceners &amp; Members</x:v>
      </x:c>
      <x:c r="C1" s="3" t="str">
        <x:v>Coparceners &amp; Members</x:v>
      </x:c>
      <x:c r="D1" s="3" t="str">
        <x:v>Coparceners &amp; Members</x:v>
      </x:c>
      <x:c r="E1" s="3" t="str">
        <x:v>Coparceners &amp; Members</x:v>
      </x:c>
    </x:row>
    <x:row r="2">
      <x:c r="A2" s="6" t="str">
        <x:v>HUF-only family member register.</x:v>
      </x:c>
      <x:c r="B2" s="6" t="str">
        <x:v>HUF-only family member register.</x:v>
      </x:c>
      <x:c r="C2" s="6" t="str">
        <x:v>HUF-only family member register.</x:v>
      </x:c>
      <x:c r="D2" s="6" t="str">
        <x:v>HUF-only family member register.</x:v>
      </x:c>
      <x:c r="E2" s="6" t="str">
        <x:v>HUF-only family member register.</x:v>
      </x:c>
    </x:row>
    <x:row r="4">
      <x:c r="A4" s="12" t="str">
        <x:v>Name</x:v>
      </x:c>
      <x:c r="B4" s="13" t="str">
        <x:v>Relationship</x:v>
      </x:c>
      <x:c r="C4" s="13" t="str">
        <x:v>PAN</x:v>
      </x:c>
      <x:c r="D4" s="13" t="str">
        <x:v>Role</x:v>
      </x:c>
      <x:c r="E4" s="14" t="str">
        <x:v>Notes</x:v>
      </x:c>
    </x:row>
    <x:row r="5">
      <x:c r="A5" s="16" t="str">
        <x:v>Sample Karta</x:v>
      </x:c>
      <x:c r="B5" s="16" t="str">
        <x:v>Karta</x:v>
      </x:c>
      <x:c r="C5" s="16" t="str"/>
      <x:c r="D5" s="16" t="str">
        <x:v>Karta</x:v>
      </x:c>
      <x:c r="E5" s="16" t="str">
        <x:v>Synthetic placeholder</x:v>
      </x:c>
    </x:row>
    <x:row r="6">
      <x:c r="A6" s="16" t="str">
        <x:v>Sample Member</x:v>
      </x:c>
      <x:c r="B6" s="16" t="str">
        <x:v>Member</x:v>
      </x:c>
      <x:c r="C6" s="16" t="str"/>
      <x:c r="D6" s="16" t="str">
        <x:v>Member</x:v>
      </x:c>
      <x:c r="E6" s="16" t="str"/>
    </x:row>
  </x:sheetData>
  <x:mergeCells>
    <x:mergeCell ref="A1:E1"/>
    <x:mergeCell ref="A2:E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9" hidden="0" customWidth="1"/>
    <x:col min="4" max="4" width="14" hidden="0" customWidth="1"/>
    <x:col min="5" max="5" width="19" hidden="0" customWidth="1"/>
    <x:col min="6" max="6" width="14" hidden="0" customWidth="1"/>
  </x:cols>
  <x:sheetData>
    <x:row r="1">
      <x:c r="A1" s="3" t="str">
        <x:v>Transfers Without Consideration</x:v>
      </x:c>
      <x:c r="B1" s="3" t="str">
        <x:v>Transfers Without Consideration</x:v>
      </x:c>
      <x:c r="C1" s="3" t="str">
        <x:v>Transfers Without Consideration</x:v>
      </x:c>
      <x:c r="D1" s="3" t="str">
        <x:v>Transfers Without Consideration</x:v>
      </x:c>
      <x:c r="E1" s="3" t="str">
        <x:v>Transfers Without Consideration</x:v>
      </x:c>
      <x:c r="F1" s="3" t="str">
        <x:v>Transfers Without Consideration</x:v>
      </x:c>
    </x:row>
    <x:row r="2">
      <x:c r="A2" s="6" t="str">
        <x:v>HUF-only Section 64(2) clubbing tracker.</x:v>
      </x:c>
      <x:c r="B2" s="6" t="str">
        <x:v>HUF-only Section 64(2) clubbing tracker.</x:v>
      </x:c>
      <x:c r="C2" s="6" t="str">
        <x:v>HUF-only Section 64(2) clubbing tracker.</x:v>
      </x:c>
      <x:c r="D2" s="6" t="str">
        <x:v>HUF-only Section 64(2) clubbing tracker.</x:v>
      </x:c>
      <x:c r="E2" s="6" t="str">
        <x:v>HUF-only Section 64(2) clubbing tracker.</x:v>
      </x:c>
      <x:c r="F2" s="6" t="str">
        <x:v>HUF-only Section 64(2) clubbing tracker.</x:v>
      </x:c>
    </x:row>
    <x:row r="4">
      <x:c r="A4" s="12" t="str">
        <x:v>Transferor</x:v>
      </x:c>
      <x:c r="B4" s="13" t="str">
        <x:v>Asset</x:v>
      </x:c>
      <x:c r="C4" s="13" t="str">
        <x:v>Transfer Date</x:v>
      </x:c>
      <x:c r="D4" s="13" t="str">
        <x:v>Income</x:v>
      </x:c>
      <x:c r="E4" s="13" t="str">
        <x:v>Clubbed Back?</x:v>
      </x:c>
      <x:c r="F4" s="14" t="str">
        <x:v>Notes</x:v>
      </x:c>
    </x:row>
    <x:row r="5">
      <x:c r="A5" s="16" t="str"/>
      <x:c r="B5" s="16" t="str"/>
      <x:c r="C5" s="16"/>
      <x:c r="D5" s="16" t="n">
        <x:v>0</x:v>
      </x:c>
      <x:c r="E5" s="16" t="str">
        <x:v>Review</x:v>
      </x:c>
      <x:c r="F5" s="16" t="str">
        <x:v>Income from assets transferred without adequate consideration may club back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20" hidden="0" customWidth="1"/>
    <x:col min="5" max="5" width="14" hidden="0" customWidth="1"/>
  </x:cols>
  <x:sheetData>
    <x:row r="1">
      <x:c r="A1" s="3" t="str">
        <x:v>Partition Log</x:v>
      </x:c>
      <x:c r="B1" s="3" t="str">
        <x:v>Partition Log</x:v>
      </x:c>
      <x:c r="C1" s="3" t="str">
        <x:v>Partition Log</x:v>
      </x:c>
      <x:c r="D1" s="3" t="str">
        <x:v>Partition Log</x:v>
      </x:c>
      <x:c r="E1" s="3" t="str">
        <x:v>Partition Log</x:v>
      </x:c>
    </x:row>
    <x:row r="2">
      <x:c r="A2" s="6" t="str">
        <x:v>HUF-only partition tracker.</x:v>
      </x:c>
      <x:c r="B2" s="6" t="str">
        <x:v>HUF-only partition tracker.</x:v>
      </x:c>
      <x:c r="C2" s="6" t="str">
        <x:v>HUF-only partition tracker.</x:v>
      </x:c>
      <x:c r="D2" s="6" t="str">
        <x:v>HUF-only partition tracker.</x:v>
      </x:c>
      <x:c r="E2" s="6" t="str">
        <x:v>HUF-only partition tracker.</x:v>
      </x:c>
    </x:row>
    <x:row r="4">
      <x:c r="A4" s="12" t="str">
        <x:v>Date</x:v>
      </x:c>
      <x:c r="B4" s="13" t="str">
        <x:v>Type</x:v>
      </x:c>
      <x:c r="C4" s="13" t="str">
        <x:v>Deed Reference</x:v>
      </x:c>
      <x:c r="D4" s="13" t="str">
        <x:v>Assets Covered</x:v>
      </x:c>
      <x:c r="E4" s="14" t="str">
        <x:v>Notes</x:v>
      </x:c>
    </x:row>
    <x:row r="5">
      <x:c r="A5" s="16"/>
      <x:c r="B5" s="16" t="str"/>
      <x:c r="C5" s="16" t="str"/>
      <x:c r="D5" s="16" t="str"/>
      <x:c r="E5" s="16" t="str">
        <x:v>Full/partial partition notes go here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21" hidden="0" customWidth="1"/>
    <x:col min="4" max="4" width="20" hidden="0" customWidth="1"/>
    <x:col min="5" max="5" width="24" hidden="0" customWidth="1"/>
    <x:col min="6" max="6" width="14" hidden="0" customWidth="1"/>
  </x:cols>
  <x:sheetData>
    <x:row r="1">
      <x:c r="A1" s="3" t="str">
        <x:v>Interest Deduction Tracker</x:v>
      </x:c>
      <x:c r="B1" s="3" t="str">
        <x:v>Interest Deduction Tracker</x:v>
      </x:c>
      <x:c r="C1" s="3" t="str">
        <x:v>Interest Deduction Tracker</x:v>
      </x:c>
      <x:c r="D1" s="3" t="str">
        <x:v>Interest Deduction Tracker</x:v>
      </x:c>
      <x:c r="E1" s="3" t="str">
        <x:v>Interest Deduction Tracker</x:v>
      </x:c>
      <x:c r="F1" s="3" t="str">
        <x:v>Interest Deduction Tracker</x:v>
      </x:c>
    </x:row>
    <x:row r="2">
      <x:c r="A2" s="6" t="str">
        <x:v>Senior citizen tab for 80TTB/interest tracking.</x:v>
      </x:c>
      <x:c r="B2" s="6" t="str">
        <x:v>Senior citizen tab for 80TTB/interest tracking.</x:v>
      </x:c>
      <x:c r="C2" s="6" t="str">
        <x:v>Senior citizen tab for 80TTB/interest tracking.</x:v>
      </x:c>
      <x:c r="D2" s="6" t="str">
        <x:v>Senior citizen tab for 80TTB/interest tracking.</x:v>
      </x:c>
      <x:c r="E2" s="6" t="str">
        <x:v>Senior citizen tab for 80TTB/interest tracking.</x:v>
      </x:c>
      <x:c r="F2" s="6" t="str">
        <x:v>Senior citizen tab for 80TTB/interest tracking.</x:v>
      </x:c>
    </x:row>
    <x:row r="4">
      <x:c r="A4" s="12" t="str">
        <x:v>Source</x:v>
      </x:c>
      <x:c r="B4" s="13" t="str">
        <x:v>Interest Type</x:v>
      </x:c>
      <x:c r="C4" s="13" t="str">
        <x:v>Interest Amount</x:v>
      </x:c>
      <x:c r="D4" s="13" t="str">
        <x:v>Eligible Limit</x:v>
      </x:c>
      <x:c r="E4" s="13" t="str">
        <x:v>Eligible Deduction</x:v>
      </x:c>
      <x:c r="F4" s="14" t="str">
        <x:v>Notes</x:v>
      </x:c>
    </x:row>
    <x:row r="5">
      <x:c r="A5" s="16" t="str">
        <x:v>Sample Bank</x:v>
      </x:c>
      <x:c r="B5" s="16" t="str">
        <x:v>Savings</x:v>
      </x:c>
      <x:c r="C5" s="16" t="n">
        <x:v>6000</x:v>
      </x:c>
      <x:c r="D5" s="16" t="n">
        <x:v>50000</x:v>
      </x:c>
      <x:c r="E5" s="16" t="n">
        <x:f>IF(Profile!B9="60 or older",MIN(C5,D5),0)</x:f>
        <x:v>0</x:v>
      </x:c>
      <x:c r="F5" s="16" t="str">
        <x:v>80TTB if senior citizen under old regime</x:v>
      </x:c>
    </x:row>
    <x:row r="6">
      <x:c r="A6" s="16" t="str">
        <x:v>Sample FD</x:v>
      </x:c>
      <x:c r="B6" s="16" t="str">
        <x:v>Deposit</x:v>
      </x:c>
      <x:c r="C6" s="16" t="n">
        <x:v>18000</x:v>
      </x:c>
      <x:c r="D6" s="16" t="n">
        <x:v>50000</x:v>
      </x:c>
      <x:c r="E6" s="16" t="n">
        <x:f>IF(Profile!B9="60 or older",MIN(C6,D6),0)</x:f>
        <x:v>0</x:v>
      </x:c>
      <x:c r="F6" s="16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7" hidden="0" customWidth="1"/>
    <x:col min="4" max="4" width="14" hidden="0" customWidth="1"/>
  </x:cols>
  <x:sheetData>
    <x:row r="1">
      <x:c r="A1" s="3" t="str">
        <x:v>Regime &amp; Advance Tax Flags</x:v>
      </x:c>
      <x:c r="B1" s="3" t="str">
        <x:v>Regime &amp; Advance Tax Flags</x:v>
      </x:c>
      <x:c r="C1" s="3" t="str">
        <x:v>Regime &amp; Advance Tax Flags</x:v>
      </x:c>
      <x:c r="D1" s="3" t="str">
        <x:v>Regime &amp; Advance Tax Flags</x:v>
      </x:c>
    </x:row>
    <x:row r="2">
      <x:c r="A2" s="6" t="str">
        <x:v>Senior citizen and business-income caveat tracker.</x:v>
      </x:c>
      <x:c r="B2" s="6" t="str">
        <x:v>Senior citizen and business-income caveat tracker.</x:v>
      </x:c>
      <x:c r="C2" s="6" t="str">
        <x:v>Senior citizen and business-income caveat tracker.</x:v>
      </x:c>
      <x:c r="D2" s="6" t="str">
        <x:v>Senior citizen and business-income caveat tracker.</x:v>
      </x:c>
    </x:row>
    <x:row r="4">
      <x:c r="A4" s="12" t="str">
        <x:v>Flag</x:v>
      </x:c>
      <x:c r="B4" s="13" t="str">
        <x:v>Value</x:v>
      </x:c>
      <x:c r="C4" s="13" t="str">
        <x:v>Consequence</x:v>
      </x:c>
      <x:c r="D4" s="14" t="str">
        <x:v>Notes</x:v>
      </x:c>
    </x:row>
    <x:row r="5">
      <x:c r="A5" s="16" t="str">
        <x:v>Business/speculative income present?</x:v>
      </x:c>
      <x:c r="B5" s="16" t="str">
        <x:f>Profile!B10</x:f>
        <x:v>Yes</x:v>
      </x:c>
      <x:c r="C5" s="16" t="str">
        <x:v>May restrict regime switching and advance-tax exemption</x:v>
      </x:c>
      <x:c r="D5" s="16" t="str"/>
    </x:row>
    <x:row r="6">
      <x:c r="A6" s="16" t="str">
        <x:v>Senior citizen?</x:v>
      </x:c>
      <x:c r="B6" s="16" t="str">
        <x:f>IF(Profile!B9="60 or older","Yes","No")</x:f>
        <x:v>No</x:v>
      </x:c>
      <x:c r="C6" s="16" t="str">
        <x:v>Check advance-tax exemption only if no business income</x:v>
      </x:c>
      <x:c r="D6" s="16" t="str"/>
    </x:row>
  </x:sheetData>
  <x:mergeCells>
    <x:mergeCell ref="A1:D1"/>
    <x:mergeCell ref="A2:D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14" hidden="0" customWidth="1"/>
    <x:col min="4" max="4" width="15" hidden="0" customWidth="1"/>
    <x:col min="5" max="5" width="20" hidden="0" customWidth="1"/>
    <x:col min="6" max="6" width="14" hidden="0" customWidth="1"/>
  </x:cols>
  <x:sheetData>
    <x:row r="1">
      <x:c r="A1" s="3" t="str">
        <x:v>Minor's Income (Clubbing)</x:v>
      </x:c>
      <x:c r="B1" s="3" t="str">
        <x:v>Minor's Income (Clubbing)</x:v>
      </x:c>
      <x:c r="C1" s="3" t="str">
        <x:v>Minor's Income (Clubbing)</x:v>
      </x:c>
      <x:c r="D1" s="3" t="str">
        <x:v>Minor's Income (Clubbing)</x:v>
      </x:c>
      <x:c r="E1" s="3" t="str">
        <x:v>Minor's Income (Clubbing)</x:v>
      </x:c>
      <x:c r="F1" s="3" t="str">
        <x:v>Minor's Income (Clubbing)</x:v>
      </x:c>
    </x:row>
    <x:row r="2">
      <x:c r="A2" s="6" t="str">
        <x:v>Single-parent/guardian tab for Schedule SPI inputs.</x:v>
      </x:c>
      <x:c r="B2" s="6" t="str">
        <x:v>Single-parent/guardian tab for Schedule SPI inputs.</x:v>
      </x:c>
      <x:c r="C2" s="6" t="str">
        <x:v>Single-parent/guardian tab for Schedule SPI inputs.</x:v>
      </x:c>
      <x:c r="D2" s="6" t="str">
        <x:v>Single-parent/guardian tab for Schedule SPI inputs.</x:v>
      </x:c>
      <x:c r="E2" s="6" t="str">
        <x:v>Single-parent/guardian tab for Schedule SPI inputs.</x:v>
      </x:c>
      <x:c r="F2" s="6" t="str">
        <x:v>Single-parent/guardian tab for Schedule SPI inputs.</x:v>
      </x:c>
    </x:row>
    <x:row r="4">
      <x:c r="A4" s="12" t="str">
        <x:v>Child</x:v>
      </x:c>
      <x:c r="B4" s="13" t="str">
        <x:v>Income Source</x:v>
      </x:c>
      <x:c r="C4" s="13" t="str">
        <x:v>Amount</x:v>
      </x:c>
      <x:c r="D4" s="13" t="str">
        <x:v>Exemption</x:v>
      </x:c>
      <x:c r="E4" s="13" t="str">
        <x:v>Clubbed Amount</x:v>
      </x:c>
      <x:c r="F4" s="14" t="str">
        <x:v>Notes</x:v>
      </x:c>
    </x:row>
    <x:row r="5">
      <x:c r="A5" s="16" t="str"/>
      <x:c r="B5" s="16" t="str"/>
      <x:c r="C5" s="16" t="n">
        <x:v>0</x:v>
      </x:c>
      <x:c r="D5" s="16" t="n">
        <x:v>1500</x:v>
      </x:c>
      <x:c r="E5" s="16" t="n">
        <x:f>MAX(0,C5-D5)</x:f>
        <x:v>0</x:v>
      </x:c>
      <x:c r="F5" s="16" t="str">
        <x:v>Section 64(1A) review needed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9" hidden="0" customWidth="1"/>
    <x:col min="6" max="6" width="14" hidden="0" customWidth="1"/>
  </x:cols>
  <x:sheetData>
    <x:row r="1">
      <x:c r="A1" s="3" t="str">
        <x:v>Alimony/Maintenance Log</x:v>
      </x:c>
      <x:c r="B1" s="3" t="str">
        <x:v>Alimony/Maintenance Log</x:v>
      </x:c>
      <x:c r="C1" s="3" t="str">
        <x:v>Alimony/Maintenance Log</x:v>
      </x:c>
      <x:c r="D1" s="3" t="str">
        <x:v>Alimony/Maintenance Log</x:v>
      </x:c>
      <x:c r="E1" s="3" t="str">
        <x:v>Alimony/Maintenance Log</x:v>
      </x:c>
      <x:c r="F1" s="3" t="str">
        <x:v>Alimony/Maintenance Log</x:v>
      </x:c>
    </x:row>
    <x:row r="2">
      <x:c r="A2" s="6" t="str">
        <x:v>Single-parent tab distinguishing periodic and lump-sum receipts.</x:v>
      </x:c>
      <x:c r="B2" s="6" t="str">
        <x:v>Single-parent tab distinguishing periodic and lump-sum receipts.</x:v>
      </x:c>
      <x:c r="C2" s="6" t="str">
        <x:v>Single-parent tab distinguishing periodic and lump-sum receipts.</x:v>
      </x:c>
      <x:c r="D2" s="6" t="str">
        <x:v>Single-parent tab distinguishing periodic and lump-sum receipts.</x:v>
      </x:c>
      <x:c r="E2" s="6" t="str">
        <x:v>Single-parent tab distinguishing periodic and lump-sum receipts.</x:v>
      </x:c>
      <x:c r="F2" s="6" t="str">
        <x:v>Single-parent tab distinguishing periodic and lump-sum receipts.</x:v>
      </x:c>
    </x:row>
    <x:row r="4">
      <x:c r="A4" s="12" t="str">
        <x:v>Date</x:v>
      </x:c>
      <x:c r="B4" s="13" t="str">
        <x:v>Payer</x:v>
      </x:c>
      <x:c r="C4" s="13" t="str">
        <x:v>Type</x:v>
      </x:c>
      <x:c r="D4" s="13" t="str">
        <x:v>Amount</x:v>
      </x:c>
      <x:c r="E4" s="13" t="str">
        <x:v>Tax Treatment</x:v>
      </x:c>
      <x:c r="F4" s="14" t="str">
        <x:v>Notes</x:v>
      </x:c>
    </x:row>
    <x:row r="5">
      <x:c r="A5" s="16"/>
      <x:c r="B5" s="16" t="str"/>
      <x:c r="C5" s="16" t="str">
        <x:v>Periodic/Lump sum</x:v>
      </x:c>
      <x:c r="D5" s="16" t="n">
        <x:v>0</x:v>
      </x:c>
      <x:c r="E5" s="16" t="str">
        <x:v>Review</x:v>
      </x:c>
      <x:c r="F5" s="16" t="str">
        <x:v>Treatment depends on facts and documentation</x:v>
      </x:c>
    </x:row>
  </x:sheetData>
  <x:mergeCells>
    <x:mergeCell ref="A1:F1"/>
    <x:mergeCell ref="A2:F2"/>
  </x:mergeCells>
  <x:pageMargins left="0.7" right="0.7" top="0.75" bottom="0.75" header="0.3" footer="0.3"/>
</x:worksheet>
</file>